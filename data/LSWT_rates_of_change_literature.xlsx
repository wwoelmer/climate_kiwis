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wwoelmer\Downloads\"/>
    </mc:Choice>
  </mc:AlternateContent>
  <xr:revisionPtr revIDLastSave="0" documentId="13_ncr:1_{62E678FC-6B97-4D3F-8655-2ADD35C20D5B}" xr6:coauthVersionLast="47" xr6:coauthVersionMax="47" xr10:uidLastSave="{00000000-0000-0000-0000-000000000000}"/>
  <bookViews>
    <workbookView xWindow="57480" yWindow="-120" windowWidth="29040" windowHeight="15720" xr2:uid="{93DBC851-A0C2-4917-BCD3-AD7E1BE02DA3}"/>
  </bookViews>
  <sheets>
    <sheet name="lit_results" sheetId="14" r:id="rId1"/>
    <sheet name="search_terms" sheetId="3" r:id="rId2"/>
    <sheet name="archive" sheetId="1" r:id="rId3"/>
    <sheet name="archive_11Sep25" sheetId="2" r:id="rId4"/>
    <sheet name="Lit_CB" sheetId="12" r:id="rId5"/>
    <sheet name="Lit_OR" sheetId="4" r:id="rId6"/>
    <sheet name="Lit_WW" sheetId="7" r:id="rId7"/>
    <sheet name="Lit_MP" sheetId="10" r:id="rId8"/>
    <sheet name="Lit_MA" sheetId="6" r:id="rId9"/>
    <sheet name="Updated pond search" sheetId="13" r:id="rId10"/>
    <sheet name="Lit_BM" sheetId="9" r:id="rId11"/>
    <sheet name="LIT_MS" sheetId="5" r:id="rId12"/>
  </sheets>
  <definedNames>
    <definedName name="_xlnm._FilterDatabase" localSheetId="3" hidden="1">archive_11Sep25!$A$1:$Y$198</definedName>
    <definedName name="_xlnm._FilterDatabase" localSheetId="0" hidden="1">lit_results!$A$1:$Y$181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4" l="1"/>
  <c r="M73" i="14"/>
  <c r="M74" i="14"/>
  <c r="M75" i="14"/>
  <c r="M76" i="14"/>
  <c r="M143" i="14"/>
  <c r="M142" i="14"/>
  <c r="M121" i="14"/>
  <c r="M120" i="14"/>
  <c r="M85" i="14"/>
  <c r="M84" i="14"/>
  <c r="M83" i="14"/>
  <c r="M82" i="14"/>
  <c r="M128" i="14"/>
  <c r="M129" i="14"/>
  <c r="M130" i="14"/>
  <c r="M131" i="14"/>
  <c r="M132" i="14"/>
  <c r="M133" i="14"/>
  <c r="M33" i="14"/>
  <c r="M34" i="14"/>
  <c r="M35" i="14"/>
  <c r="M36" i="14"/>
  <c r="M64" i="14"/>
  <c r="A64" i="14"/>
  <c r="M63" i="14"/>
  <c r="A63" i="14"/>
  <c r="M62" i="14"/>
  <c r="A62" i="14"/>
  <c r="M61" i="14"/>
  <c r="A61" i="14"/>
  <c r="M60" i="14"/>
  <c r="A60" i="14"/>
  <c r="M59" i="14"/>
  <c r="A59" i="14"/>
  <c r="M58" i="14"/>
  <c r="A58" i="14"/>
  <c r="M57" i="14"/>
  <c r="A57" i="14"/>
  <c r="A31" i="14"/>
  <c r="M101" i="14"/>
  <c r="M100" i="14"/>
  <c r="M136" i="14"/>
  <c r="M135" i="14"/>
  <c r="M17" i="14"/>
  <c r="M16" i="14"/>
  <c r="M15" i="14"/>
  <c r="M14" i="14"/>
  <c r="M13" i="14"/>
  <c r="M175" i="14"/>
  <c r="M174" i="14"/>
  <c r="M26" i="14"/>
  <c r="M25" i="14"/>
  <c r="M71" i="14"/>
  <c r="M70" i="14"/>
  <c r="M69" i="14"/>
  <c r="M68" i="14"/>
  <c r="M67" i="14"/>
  <c r="M93" i="14"/>
  <c r="M91" i="14"/>
  <c r="M56" i="14"/>
  <c r="M81" i="14"/>
  <c r="M21" i="14"/>
  <c r="M108" i="14"/>
  <c r="M107" i="14"/>
  <c r="M116" i="14"/>
  <c r="M115" i="14"/>
  <c r="M23" i="14"/>
  <c r="M22" i="14"/>
  <c r="M10" i="14"/>
  <c r="M9" i="14"/>
  <c r="M8" i="14"/>
  <c r="M145" i="14"/>
  <c r="M109" i="14"/>
  <c r="M7" i="14"/>
  <c r="M90" i="14"/>
  <c r="M89" i="14"/>
  <c r="M88" i="14"/>
  <c r="M87" i="14"/>
  <c r="M86" i="14"/>
  <c r="M29" i="14"/>
  <c r="M114" i="14"/>
  <c r="M32" i="14"/>
  <c r="M95" i="14"/>
  <c r="M78" i="14"/>
  <c r="M77" i="14"/>
  <c r="M46" i="14"/>
  <c r="M147" i="14"/>
  <c r="M146" i="14"/>
  <c r="M20" i="14"/>
  <c r="M19" i="14"/>
  <c r="M18" i="14"/>
  <c r="M127" i="14"/>
  <c r="M79" i="14"/>
  <c r="M185" i="14"/>
  <c r="M106" i="14"/>
  <c r="M105" i="14"/>
  <c r="M126" i="14"/>
  <c r="M125" i="14"/>
  <c r="M124" i="14"/>
  <c r="M123" i="14"/>
  <c r="M122" i="14"/>
  <c r="M45" i="14"/>
  <c r="M37" i="14"/>
  <c r="M102" i="14"/>
  <c r="M65" i="14"/>
  <c r="C22" i="3"/>
  <c r="C21" i="3"/>
  <c r="B21" i="3"/>
  <c r="B20" i="3"/>
  <c r="C20" i="3"/>
  <c r="J40" i="10"/>
  <c r="K92" i="10"/>
  <c r="J92" i="10"/>
  <c r="J90" i="10"/>
  <c r="J88" i="10"/>
  <c r="M87" i="10"/>
  <c r="L87" i="10"/>
  <c r="K87" i="10"/>
  <c r="J87" i="10"/>
  <c r="L86" i="10"/>
  <c r="K86" i="10"/>
  <c r="J86" i="10"/>
  <c r="J85" i="10"/>
  <c r="L84" i="10"/>
  <c r="K84" i="10"/>
  <c r="J84" i="10"/>
  <c r="K83" i="10"/>
  <c r="J83" i="10"/>
  <c r="L82" i="10"/>
  <c r="K82" i="10"/>
  <c r="J82" i="10"/>
  <c r="J79" i="10"/>
  <c r="K77" i="10"/>
  <c r="J77" i="10"/>
  <c r="J71" i="10"/>
  <c r="J70" i="10"/>
  <c r="J59" i="10"/>
  <c r="J58" i="10"/>
  <c r="J56" i="10"/>
  <c r="J55" i="10"/>
  <c r="J54" i="10"/>
  <c r="L53" i="10"/>
  <c r="J53" i="10"/>
  <c r="J50" i="10"/>
  <c r="J49" i="10"/>
  <c r="J47" i="10"/>
  <c r="J45" i="10"/>
  <c r="J41" i="10"/>
  <c r="J38" i="10"/>
  <c r="K40" i="10"/>
  <c r="M137" i="2"/>
  <c r="A137" i="2"/>
  <c r="M136" i="2"/>
  <c r="A136" i="2"/>
  <c r="M135" i="2"/>
  <c r="A135" i="2"/>
  <c r="M134" i="2"/>
  <c r="A134" i="2"/>
  <c r="M133" i="2"/>
  <c r="A133" i="2"/>
  <c r="M132" i="2"/>
  <c r="A132" i="2"/>
  <c r="M131" i="2"/>
  <c r="A131" i="2"/>
  <c r="M130" i="2"/>
  <c r="A130" i="2"/>
  <c r="F64" i="6"/>
  <c r="F62" i="6"/>
  <c r="F60" i="6"/>
  <c r="F58" i="6"/>
  <c r="F63" i="6"/>
  <c r="F61" i="6"/>
  <c r="F59" i="6"/>
  <c r="F57" i="6"/>
  <c r="P64" i="6"/>
  <c r="P63" i="6"/>
  <c r="P62" i="6"/>
  <c r="P61" i="6"/>
  <c r="P60" i="6"/>
  <c r="P59" i="6"/>
  <c r="P58" i="6"/>
  <c r="P57" i="6"/>
  <c r="A129" i="2"/>
  <c r="F56" i="6"/>
  <c r="M124" i="2"/>
  <c r="M123" i="2"/>
  <c r="M122" i="2"/>
  <c r="M121" i="2"/>
  <c r="M118" i="2"/>
  <c r="M111" i="2"/>
  <c r="M110" i="2"/>
  <c r="M109" i="2"/>
  <c r="M108" i="2"/>
  <c r="M107" i="2"/>
  <c r="M106" i="2"/>
  <c r="M105" i="2"/>
  <c r="M104" i="2"/>
  <c r="M103" i="2"/>
  <c r="M101" i="2"/>
  <c r="M100" i="2"/>
  <c r="M99" i="2"/>
  <c r="M98" i="2"/>
  <c r="M97" i="2"/>
  <c r="M96" i="2"/>
  <c r="M95" i="2"/>
  <c r="M94" i="2"/>
  <c r="M93" i="2"/>
  <c r="M92" i="2"/>
  <c r="M91" i="2"/>
  <c r="M90" i="2"/>
  <c r="M89" i="2"/>
  <c r="M88" i="2"/>
  <c r="M87" i="2"/>
  <c r="M86" i="2"/>
  <c r="M28" i="4"/>
  <c r="M20" i="4"/>
  <c r="M22" i="4"/>
  <c r="M21" i="4"/>
  <c r="M23" i="4"/>
  <c r="M13" i="4"/>
  <c r="M12" i="4"/>
  <c r="M11" i="4"/>
  <c r="M10" i="4"/>
  <c r="M9" i="4"/>
  <c r="M8" i="4"/>
  <c r="M6" i="4"/>
  <c r="M40" i="4"/>
  <c r="M41" i="4"/>
  <c r="M42" i="4"/>
  <c r="M39" i="4"/>
  <c r="M36" i="4"/>
  <c r="M35" i="4"/>
  <c r="M25" i="4"/>
  <c r="M26" i="4"/>
  <c r="M27" i="4"/>
  <c r="M24" i="4"/>
  <c r="M15" i="4"/>
  <c r="M17" i="4"/>
  <c r="M18" i="4"/>
  <c r="M16" i="4"/>
  <c r="M14" i="4"/>
  <c r="M4" i="4"/>
  <c r="M5" i="4"/>
  <c r="M7" i="4"/>
  <c r="M3" i="4"/>
  <c r="A79" i="2"/>
  <c r="M85" i="2"/>
  <c r="P6" i="6"/>
  <c r="M84" i="2"/>
  <c r="P48" i="6"/>
  <c r="M83" i="2"/>
  <c r="M82" i="2"/>
  <c r="P47" i="6"/>
  <c r="P46" i="6"/>
  <c r="M57" i="2"/>
  <c r="P45" i="6"/>
  <c r="M56" i="2"/>
  <c r="M55" i="2"/>
  <c r="P44" i="6"/>
  <c r="P43" i="6"/>
  <c r="P38" i="6"/>
  <c r="P37" i="6"/>
  <c r="M53" i="2"/>
  <c r="M54" i="2"/>
  <c r="M52" i="2"/>
  <c r="M51" i="2"/>
  <c r="P32" i="6"/>
  <c r="P31" i="6"/>
  <c r="M46" i="2"/>
  <c r="M48" i="2"/>
  <c r="M50" i="2"/>
  <c r="M49" i="2"/>
  <c r="M47" i="2"/>
  <c r="M45" i="2"/>
  <c r="P29" i="6"/>
  <c r="P27" i="6"/>
  <c r="P25" i="6"/>
  <c r="P23" i="6"/>
  <c r="P18" i="6"/>
  <c r="M3" i="2"/>
  <c r="M4" i="2"/>
  <c r="M5" i="2"/>
  <c r="M6" i="2"/>
  <c r="M7" i="2"/>
  <c r="M8" i="2"/>
  <c r="M9" i="2"/>
  <c r="M10" i="2"/>
  <c r="M11" i="2"/>
  <c r="M12" i="2"/>
  <c r="M13" i="2"/>
  <c r="M14" i="2"/>
  <c r="M15" i="2"/>
  <c r="M16" i="2"/>
  <c r="M2" i="2"/>
  <c r="M40" i="2"/>
  <c r="M39" i="2"/>
  <c r="M38" i="2"/>
  <c r="M37" i="2"/>
  <c r="M36" i="2"/>
  <c r="M35" i="2"/>
  <c r="M34" i="2"/>
  <c r="M33" i="2"/>
  <c r="M32" i="2"/>
  <c r="M31" i="2"/>
  <c r="M30" i="2"/>
  <c r="M29" i="2"/>
  <c r="M28" i="2"/>
  <c r="M27" i="2"/>
  <c r="M26" i="2"/>
  <c r="M25" i="2"/>
  <c r="M24" i="2"/>
  <c r="M23" i="2"/>
  <c r="M22" i="2"/>
  <c r="M21" i="2"/>
  <c r="M20" i="2"/>
  <c r="K25" i="7"/>
  <c r="K24" i="7"/>
  <c r="K23" i="7"/>
  <c r="K21" i="7"/>
  <c r="K20" i="7"/>
  <c r="K19" i="7"/>
  <c r="K22" i="7"/>
  <c r="K18" i="7"/>
  <c r="K17" i="7"/>
  <c r="K16" i="7"/>
  <c r="K15" i="7"/>
  <c r="K14" i="7"/>
  <c r="K12" i="7"/>
  <c r="K13" i="7"/>
  <c r="K11" i="7"/>
  <c r="K10" i="7"/>
  <c r="K9" i="7"/>
  <c r="K8" i="7"/>
  <c r="K7" i="7"/>
  <c r="K6" i="7"/>
  <c r="K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tc={FCFD6114-E67A-485D-81A0-81E190B343DB}</author>
    <author>tc={1B43E502-7E56-48DC-88D4-AD40D962A3AB}</author>
    <author>tc={33427B95-6813-4DFD-80E5-45C14FB86E05}</author>
    <author>tc={47EB6617-27F6-497D-AAC2-2C673FA2C228}</author>
  </authors>
  <commentList>
    <comment ref="H47" authorId="0" shapeId="0" xr:uid="{FCFD6114-E67A-485D-81A0-81E190B343DB}">
      <text>
        <t>[Threaded comment]
Your version of Excel allows you to read this threaded comment; however, any edits to it will get removed if the file is opened in a newer version of Excel. Learn more: https://go.microsoft.com/fwlink/?linkid=870924
Comment:
    Not given?
Reply:
    Yeah I do not see the  method described anywhere. On Figures 6-7 they show the equation but they have used a polynomial regression so calculating the slope (i.e., trend) from that is not stratightforward. Since they also report seasonal trends, I would normally have asked you to add those in as well but they do not list the trends in the text and they are not listed as a linear regression on the figure so they wouldn't be comparable to linear regression values from all other studies. 
I guess you can put 'polynomial regression' as the method here but we may end up not using this study as it is not clear how they actually calculated the trend</t>
      </text>
    </comment>
    <comment ref="H48" authorId="1" shapeId="0" xr:uid="{1B43E502-7E56-48DC-88D4-AD40D962A3AB}">
      <text>
        <t>[Threaded comment]
Your version of Excel allows you to read this threaded comment; however, any edits to it will get removed if the file is opened in a newer version of Excel. Learn more: https://go.microsoft.com/fwlink/?linkid=870924
Comment:
    Not given?</t>
      </text>
    </comment>
    <comment ref="L100" authorId="2" shapeId="0" xr:uid="{33427B95-6813-4DFD-80E5-45C14FB86E05}">
      <text>
        <t>[Threaded comment]
Your version of Excel allows you to read this threaded comment; however, any edits to it will get removed if the file is opened in a newer version of Excel. Learn more: https://go.microsoft.com/fwlink/?linkid=870924
Comment:
    6 usa lakes</t>
      </text>
    </comment>
    <comment ref="L101" authorId="3" shapeId="0" xr:uid="{47EB6617-27F6-497D-AAC2-2C673FA2C228}">
      <text>
        <t>[Threaded comment]
Your version of Excel allows you to read this threaded comment; however, any edits to it will get removed if the file is opened in a newer version of Excel. Learn more: https://go.microsoft.com/fwlink/?linkid=870924
Comment:
    6 usa lakes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tc={AE3595CF-B596-4BA1-8D0F-227BC6D83881}</author>
    <author>tc={5FDCA68D-5C6C-47BA-B44E-8B566EAC439E}</author>
    <author>tc={1343CF8A-E217-4A58-BCBA-B8F1D9237AAD}</author>
    <author>tc={1DEBBABE-5F61-43CD-8F11-6FFBE34CF339}</author>
  </authors>
  <commentList>
    <comment ref="H119" authorId="0" shapeId="0" xr:uid="{AE3595CF-B596-4BA1-8D0F-227BC6D83881}">
      <text>
        <t>[Threaded comment]
Your version of Excel allows you to read this threaded comment; however, any edits to it will get removed if the file is opened in a newer version of Excel. Learn more: https://go.microsoft.com/fwlink/?linkid=870924
Comment:
    Not given?
Reply:
    Yeah I do not see the  method described anywhere. On Figures 6-7 they show the equation but they have used a polynomial regression so calculating the slope (i.e., trend) from that is not stratightforward. Since they also report seasonal trends, I would normally have asked you to add those in as well but they do not list the trends in the text and they are not listed as a linear regression on the figure so they wouldn't be comparable to linear regression values from all other studies. 
I guess you can put 'polynomial regression' as the method here but we may end up not using this study as it is not clear how they actually calculated the trend</t>
      </text>
    </comment>
    <comment ref="H120" authorId="1" shapeId="0" xr:uid="{5FDCA68D-5C6C-47BA-B44E-8B566EAC439E}">
      <text>
        <t>[Threaded comment]
Your version of Excel allows you to read this threaded comment; however, any edits to it will get removed if the file is opened in a newer version of Excel. Learn more: https://go.microsoft.com/fwlink/?linkid=870924
Comment:
    Not given?</t>
      </text>
    </comment>
    <comment ref="L121" authorId="2" shapeId="0" xr:uid="{1343CF8A-E217-4A58-BCBA-B8F1D9237AAD}">
      <text>
        <t>[Threaded comment]
Your version of Excel allows you to read this threaded comment; however, any edits to it will get removed if the file is opened in a newer version of Excel. Learn more: https://go.microsoft.com/fwlink/?linkid=870924
Comment:
    6 usa lakes</t>
      </text>
    </comment>
    <comment ref="L122" authorId="3" shapeId="0" xr:uid="{1DEBBABE-5F61-43CD-8F11-6FFBE34CF339}">
      <text>
        <t>[Threaded comment]
Your version of Excel allows you to read this threaded comment; however, any edits to it will get removed if the file is opened in a newer version of Excel. Learn more: https://go.microsoft.com/fwlink/?linkid=870924
Comment:
    6 usa lakes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tc={75EDB48C-F944-4674-99EB-C81D80A017AD}</author>
    <author>tc={2FBA1410-38D7-4207-8C8A-5ED825E2B4BE}</author>
    <author>tc={32E130EF-066A-4F6A-81C9-9E09EC068822}</author>
    <author>tc={E59A77A5-0E03-4A36-A49A-EFBDE322B1E7}</author>
    <author>tc={7A1696EB-EFE7-4A6A-B9E8-D316B6994D23}</author>
  </authors>
  <commentList>
    <comment ref="A35" authorId="0" shapeId="0" xr:uid="{75EDB48C-F944-4674-99EB-C81D80A017AD}">
      <text>
        <t>[Threaded comment]
Your version of Excel allows you to read this threaded comment; however, any edits to it will get removed if the file is opened in a newer version of Excel. Learn more: https://go.microsoft.com/fwlink/?linkid=870924
Comment:
    Please help with this one</t>
      </text>
    </comment>
    <comment ref="H37" authorId="1" shapeId="0" xr:uid="{2FBA1410-38D7-4207-8C8A-5ED825E2B4BE}">
      <text>
        <t>[Threaded comment]
Your version of Excel allows you to read this threaded comment; however, any edits to it will get removed if the file is opened in a newer version of Excel. Learn more: https://go.microsoft.com/fwlink/?linkid=870924
Comment:
    Not given?</t>
      </text>
    </comment>
    <comment ref="H38" authorId="2" shapeId="0" xr:uid="{32E130EF-066A-4F6A-81C9-9E09EC068822}">
      <text>
        <t>[Threaded comment]
Your version of Excel allows you to read this threaded comment; however, any edits to it will get removed if the file is opened in a newer version of Excel. Learn more: https://go.microsoft.com/fwlink/?linkid=870924
Comment:
    Not given?</t>
      </text>
    </comment>
    <comment ref="L39" authorId="3" shapeId="0" xr:uid="{E59A77A5-0E03-4A36-A49A-EFBDE322B1E7}">
      <text>
        <t>[Threaded comment]
Your version of Excel allows you to read this threaded comment; however, any edits to it will get removed if the file is opened in a newer version of Excel. Learn more: https://go.microsoft.com/fwlink/?linkid=870924
Comment:
    6 usa lakes</t>
      </text>
    </comment>
    <comment ref="L40" authorId="4" shapeId="0" xr:uid="{7A1696EB-EFE7-4A6A-B9E8-D316B6994D23}">
      <text>
        <t>[Threaded comment]
Your version of Excel allows you to read this threaded comment; however, any edits to it will get removed if the file is opened in a newer version of Excel. Learn more: https://go.microsoft.com/fwlink/?linkid=870924
Comment:
    6 usa lakes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Matthew Prentice</author>
  </authors>
  <commentList>
    <comment ref="J41" authorId="0" shapeId="0" xr:uid="{55D10B35-7344-425F-8428-5B2353002579}">
      <text>
        <r>
          <rPr>
            <sz val="11"/>
            <color theme="1"/>
            <rFont val="Aptos Narrow"/>
            <family val="2"/>
            <scheme val="minor"/>
          </rPr>
          <t>Matthew Prentice:
Maximum not average</t>
        </r>
      </text>
    </comment>
    <comment ref="J45" authorId="0" shapeId="0" xr:uid="{CD7503A2-C349-41C8-ACFF-8CA6295DDF64}">
      <text>
        <r>
          <rPr>
            <sz val="11"/>
            <color theme="1"/>
            <rFont val="Aptos Narrow"/>
            <family val="2"/>
            <scheme val="minor"/>
          </rPr>
          <t>Matthew Prentice:
Range of 0.2 and 0.8 /dec</t>
        </r>
      </text>
    </comment>
    <comment ref="J47" authorId="0" shapeId="0" xr:uid="{CDB505F4-AA1D-4A8F-97AB-94B92E8DABB1}">
      <text>
        <r>
          <rPr>
            <sz val="11"/>
            <color theme="1"/>
            <rFont val="Aptos Narrow"/>
            <family val="2"/>
            <scheme val="minor"/>
          </rPr>
          <t>Matthew Prentice:
Mean of day and might values</t>
        </r>
      </text>
    </comment>
    <comment ref="J51" authorId="0" shapeId="0" xr:uid="{AF690ED6-637F-40F2-AB88-71812D98EDBF}">
      <text>
        <r>
          <rPr>
            <sz val="11"/>
            <color theme="1"/>
            <rFont val="Aptos Narrow"/>
            <family val="2"/>
            <scheme val="minor"/>
          </rPr>
          <t>Matthew Prentice:
Mean of night and day</t>
        </r>
      </text>
    </comment>
    <comment ref="K51" authorId="0" shapeId="0" xr:uid="{1485BA47-7459-4F34-B368-94287E285F5B}">
      <text>
        <r>
          <rPr>
            <sz val="11"/>
            <color theme="1"/>
            <rFont val="Aptos Narrow"/>
            <family val="2"/>
            <scheme val="minor"/>
          </rPr>
          <t>Matthew Prentice:
Mean of night and day (separate exists)</t>
        </r>
      </text>
    </comment>
    <comment ref="J53" authorId="0" shapeId="0" xr:uid="{0022A76D-8F13-4AD5-9A9B-90FB400E6BBB}">
      <text>
        <r>
          <rPr>
            <sz val="11"/>
            <color theme="1"/>
            <rFont val="Aptos Narrow"/>
            <family val="2"/>
            <scheme val="minor"/>
          </rPr>
          <t>Matthew Prentice:
Lacawac
N.b. epilimnion temp</t>
        </r>
      </text>
    </comment>
    <comment ref="L53" authorId="0" shapeId="0" xr:uid="{47C2FF7C-9E58-49A3-9605-C86DFA9CDA55}">
      <text>
        <r>
          <rPr>
            <sz val="11"/>
            <color theme="1"/>
            <rFont val="Aptos Narrow"/>
            <family val="2"/>
            <scheme val="minor"/>
          </rPr>
          <t>Matthew Prentice:
Giles
N.b. epilimnion temp</t>
        </r>
      </text>
    </comment>
    <comment ref="J59" authorId="0" shapeId="0" xr:uid="{3E1D641B-DC60-4FED-BCEB-800452978322}">
      <text>
        <r>
          <rPr>
            <sz val="11"/>
            <color theme="1"/>
            <rFont val="Aptos Narrow"/>
            <family val="2"/>
            <scheme val="minor"/>
          </rPr>
          <t>Matthew Prentice:
Mean of night and day. Night and day exists.</t>
        </r>
      </text>
    </comment>
    <comment ref="J77" authorId="0" shapeId="0" xr:uid="{E01BBD71-123C-4729-8D8C-63FB12961D4D}">
      <text>
        <r>
          <rPr>
            <sz val="11"/>
            <color theme="1"/>
            <rFont val="Aptos Narrow"/>
            <family val="2"/>
            <scheme val="minor"/>
          </rPr>
          <t>Matthew Prentice:
Hulun Lake</t>
        </r>
      </text>
    </comment>
    <comment ref="K77" authorId="0" shapeId="0" xr:uid="{A84395A1-BC88-4F73-B7CF-A12209DD8C8E}">
      <text>
        <r>
          <rPr>
            <sz val="11"/>
            <color theme="1"/>
            <rFont val="Aptos Narrow"/>
            <family val="2"/>
            <scheme val="minor"/>
          </rPr>
          <t>Matthew Prentice:
Qinghai Lake</t>
        </r>
      </text>
    </comment>
    <comment ref="J82" authorId="0" shapeId="0" xr:uid="{8613FA23-C4E4-485C-A776-22F4D50BD6C3}">
      <text>
        <r>
          <rPr>
            <sz val="11"/>
            <color theme="1"/>
            <rFont val="Aptos Narrow"/>
            <family val="2"/>
            <scheme val="minor"/>
          </rPr>
          <t>Matthew Prentice:
Spring</t>
        </r>
      </text>
    </comment>
    <comment ref="K82" authorId="0" shapeId="0" xr:uid="{0AB5AA67-8B20-4617-AF40-C4B11939C6CA}">
      <text>
        <r>
          <rPr>
            <sz val="11"/>
            <color theme="1"/>
            <rFont val="Aptos Narrow"/>
            <family val="2"/>
            <scheme val="minor"/>
          </rPr>
          <t>Matthew Prentice:
Summer</t>
        </r>
      </text>
    </comment>
    <comment ref="L82" authorId="0" shapeId="0" xr:uid="{420EECD3-B1CE-4177-9363-847EFF39236D}">
      <text>
        <r>
          <rPr>
            <sz val="11"/>
            <color theme="1"/>
            <rFont val="Aptos Narrow"/>
            <family val="2"/>
            <scheme val="minor"/>
          </rPr>
          <t>Matthew Prentice:
Annual</t>
        </r>
      </text>
    </comment>
    <comment ref="J83" authorId="0" shapeId="0" xr:uid="{E9E8793B-6389-41E1-B25B-5E85E3A9A747}">
      <text>
        <r>
          <rPr>
            <sz val="11"/>
            <color theme="1"/>
            <rFont val="Aptos Narrow"/>
            <family val="2"/>
            <scheme val="minor"/>
          </rPr>
          <t>Matthew Prentice:
Day</t>
        </r>
      </text>
    </comment>
    <comment ref="K83" authorId="0" shapeId="0" xr:uid="{19F256C5-B7CC-41FC-B6F6-37CD17B29B8D}">
      <text>
        <r>
          <rPr>
            <sz val="11"/>
            <color theme="1"/>
            <rFont val="Aptos Narrow"/>
            <family val="2"/>
            <scheme val="minor"/>
          </rPr>
          <t>Matthew Prentice:
Night</t>
        </r>
      </text>
    </comment>
    <comment ref="J84" authorId="0" shapeId="0" xr:uid="{E47FB633-2DAB-4923-864D-F589B2CA4516}">
      <text>
        <r>
          <rPr>
            <sz val="11"/>
            <color theme="1"/>
            <rFont val="Aptos Narrow"/>
            <family val="2"/>
            <scheme val="minor"/>
          </rPr>
          <t>Matthew Prentice:
Mean</t>
        </r>
      </text>
    </comment>
    <comment ref="K84" authorId="0" shapeId="0" xr:uid="{8B64FAFA-20DD-48BC-A2CD-759624F8E231}">
      <text>
        <r>
          <rPr>
            <sz val="11"/>
            <color theme="1"/>
            <rFont val="Aptos Narrow"/>
            <family val="2"/>
            <scheme val="minor"/>
          </rPr>
          <t>Matthew Prentice:
Max</t>
        </r>
      </text>
    </comment>
    <comment ref="L84" authorId="0" shapeId="0" xr:uid="{BFE589B2-BD5A-4734-9FAE-F8AC105A9830}">
      <text>
        <r>
          <rPr>
            <sz val="11"/>
            <color theme="1"/>
            <rFont val="Aptos Narrow"/>
            <family val="2"/>
            <scheme val="minor"/>
          </rPr>
          <t>Matthew Prentice:
Summer (unclear if mean or max). Suspect max.</t>
        </r>
      </text>
    </comment>
    <comment ref="J86" authorId="0" shapeId="0" xr:uid="{01030E03-D557-4FB3-9416-7A35A324E0E0}">
      <text>
        <r>
          <rPr>
            <sz val="11"/>
            <color theme="1"/>
            <rFont val="Aptos Narrow"/>
            <family val="2"/>
            <scheme val="minor"/>
          </rPr>
          <t>Matthew Prentice:
Annual whole study</t>
        </r>
      </text>
    </comment>
    <comment ref="K86" authorId="0" shapeId="0" xr:uid="{C536D131-BCB0-4640-BD9B-CF43C5D202D1}">
      <text>
        <r>
          <rPr>
            <sz val="11"/>
            <color theme="1"/>
            <rFont val="Aptos Narrow"/>
            <family val="2"/>
            <scheme val="minor"/>
          </rPr>
          <t>Matthew Prentice:
Summer whole study</t>
        </r>
      </text>
    </comment>
    <comment ref="L86" authorId="0" shapeId="0" xr:uid="{3346A412-BBE3-43F5-BF5B-58E9534EC31F}">
      <text>
        <r>
          <rPr>
            <sz val="11"/>
            <color theme="1"/>
            <rFont val="Aptos Narrow"/>
            <family val="2"/>
            <scheme val="minor"/>
          </rPr>
          <t>Matthew Prentice:
European lakes, summer</t>
        </r>
      </text>
    </comment>
    <comment ref="J87" authorId="0" shapeId="0" xr:uid="{E261C320-EA75-49D6-92C6-E76023276E50}">
      <text>
        <r>
          <rPr>
            <sz val="11"/>
            <color theme="1"/>
            <rFont val="Aptos Narrow"/>
            <family val="2"/>
            <scheme val="minor"/>
          </rPr>
          <t>Matthew Prentice:
Spring</t>
        </r>
      </text>
    </comment>
    <comment ref="K87" authorId="0" shapeId="0" xr:uid="{1CFC19A6-2431-4F3D-84CF-A20C0A5472CA}">
      <text>
        <r>
          <rPr>
            <sz val="11"/>
            <color theme="1"/>
            <rFont val="Aptos Narrow"/>
            <family val="2"/>
            <scheme val="minor"/>
          </rPr>
          <t>Matthew Prentice:
Summer</t>
        </r>
      </text>
    </comment>
    <comment ref="L87" authorId="0" shapeId="0" xr:uid="{993929E4-6B20-417B-B6AB-3177694355CD}">
      <text>
        <r>
          <rPr>
            <sz val="11"/>
            <color theme="1"/>
            <rFont val="Aptos Narrow"/>
            <family val="2"/>
            <scheme val="minor"/>
          </rPr>
          <t>Matthew Prentice:
Autumn</t>
        </r>
      </text>
    </comment>
    <comment ref="M87" authorId="0" shapeId="0" xr:uid="{0039627B-82CD-4632-AFD5-A1FAF532A1E5}">
      <text>
        <r>
          <rPr>
            <sz val="11"/>
            <color theme="1"/>
            <rFont val="Aptos Narrow"/>
            <family val="2"/>
            <scheme val="minor"/>
          </rPr>
          <t>Matthew Prentice:
Winter</t>
        </r>
      </text>
    </comment>
    <comment ref="J92" authorId="0" shapeId="0" xr:uid="{CEBB0046-4D89-4AFC-A12E-31FBC9DE0BEB}">
      <text>
        <r>
          <rPr>
            <sz val="11"/>
            <color theme="1"/>
            <rFont val="Aptos Narrow"/>
            <family val="2"/>
            <scheme val="minor"/>
          </rPr>
          <t>Matthew Prentice:
Lake Viedma and Lake O’Higgins</t>
        </r>
      </text>
    </comment>
    <comment ref="K92" authorId="0" shapeId="0" xr:uid="{2C28368C-0949-49AD-AFE8-C914A8B0F2DD}">
      <text>
        <r>
          <rPr>
            <sz val="11"/>
            <color theme="1"/>
            <rFont val="Aptos Narrow"/>
            <family val="2"/>
            <scheme val="minor"/>
          </rPr>
          <t>Matthew Prentice:
Lake Argentino</t>
        </r>
      </text>
    </comment>
  </commentList>
</comments>
</file>

<file path=xl/sharedStrings.xml><?xml version="1.0" encoding="utf-8"?>
<sst xmlns="http://schemas.openxmlformats.org/spreadsheetml/2006/main" count="11212" uniqueCount="2395">
  <si>
    <t>rate_C_year</t>
  </si>
  <si>
    <t>location</t>
  </si>
  <si>
    <t>lat</t>
  </si>
  <si>
    <t>long</t>
  </si>
  <si>
    <t>spatial_extent</t>
  </si>
  <si>
    <t>method_LSWT</t>
  </si>
  <si>
    <t>method_LSWT_standard</t>
  </si>
  <si>
    <t>method_trend</t>
  </si>
  <si>
    <t>aggregation_mean_min_max_etc</t>
  </si>
  <si>
    <t>annual_seasonal_data</t>
  </si>
  <si>
    <t>temporal_aggregation</t>
  </si>
  <si>
    <t>n_lakes</t>
  </si>
  <si>
    <t>n_years</t>
  </si>
  <si>
    <t>min_year</t>
  </si>
  <si>
    <t>max_year</t>
  </si>
  <si>
    <t>paper_source</t>
  </si>
  <si>
    <t>citation</t>
  </si>
  <si>
    <t>citation_short</t>
  </si>
  <si>
    <t>journal</t>
  </si>
  <si>
    <t>other notes?</t>
  </si>
  <si>
    <t>link</t>
  </si>
  <si>
    <t>comment from Whitney</t>
  </si>
  <si>
    <t>comment on comparing studies</t>
  </si>
  <si>
    <t>reviewer 1</t>
  </si>
  <si>
    <t>reviewer 2</t>
  </si>
  <si>
    <t>World</t>
  </si>
  <si>
    <t>global</t>
  </si>
  <si>
    <t>remote sensing and in situ</t>
  </si>
  <si>
    <t>satellite and in situ</t>
  </si>
  <si>
    <t>Sen's slope</t>
  </si>
  <si>
    <t>mean</t>
  </si>
  <si>
    <t>summer</t>
  </si>
  <si>
    <r>
      <rPr>
        <sz val="10"/>
        <color rgb="FF222222"/>
        <rFont val="Arial"/>
      </rPr>
      <t>O'Reilly, C. M., Sharma, S., Gray, D. K., Hampton, S. E., Read, J. S., Rowley, R. J., ... &amp; Zhang, G. (2015). Rapid and highly variable warming of lake surface waters around the globe. </t>
    </r>
    <r>
      <rPr>
        <i/>
        <sz val="10"/>
        <color rgb="FF222222"/>
        <rFont val="Arial"/>
      </rPr>
      <t>Geophysical Research Letters</t>
    </r>
    <r>
      <rPr>
        <sz val="10"/>
        <color rgb="FF222222"/>
        <rFont val="Arial"/>
      </rPr>
      <t>, </t>
    </r>
    <r>
      <rPr>
        <i/>
        <sz val="10"/>
        <color rgb="FF222222"/>
        <rFont val="Arial"/>
      </rPr>
      <t>42</t>
    </r>
    <r>
      <rPr>
        <sz val="10"/>
        <color rgb="FF222222"/>
        <rFont val="Arial"/>
      </rPr>
      <t>(24), 10-773.</t>
    </r>
  </si>
  <si>
    <t>O'Reilly et al. 2015</t>
  </si>
  <si>
    <t>not in the literature results (top 25) so maybe remove? shows up somewhere around 45-50</t>
  </si>
  <si>
    <t>NA</t>
  </si>
  <si>
    <t>Poland</t>
  </si>
  <si>
    <t>region</t>
  </si>
  <si>
    <t>machine learning reconstruction of in situ observations</t>
  </si>
  <si>
    <t>modelled and in situ</t>
  </si>
  <si>
    <t>annual</t>
  </si>
  <si>
    <r>
      <t>Sojka, M., &amp; Ptak, M. (2024). Reconstruction of Surface Water Temperature in Lakes as a Source for Long-Term Analysis of Its Changes. </t>
    </r>
    <r>
      <rPr>
        <i/>
        <sz val="10"/>
        <color rgb="FF222222"/>
        <rFont val="Arial"/>
        <family val="2"/>
        <charset val="1"/>
      </rPr>
      <t>Water</t>
    </r>
    <r>
      <rPr>
        <sz val="10"/>
        <color rgb="FF222222"/>
        <rFont val="Arial"/>
        <family val="2"/>
        <charset val="1"/>
      </rPr>
      <t>, </t>
    </r>
    <r>
      <rPr>
        <i/>
        <sz val="10"/>
        <color rgb="FF222222"/>
        <rFont val="Arial"/>
        <family val="2"/>
        <charset val="1"/>
      </rPr>
      <t>16</t>
    </r>
    <r>
      <rPr>
        <sz val="10"/>
        <color rgb="FF222222"/>
        <rFont val="Arial"/>
        <family val="2"/>
        <charset val="1"/>
      </rPr>
      <t>(23), 3347.</t>
    </r>
  </si>
  <si>
    <t>Sojka and Ptak 2024</t>
  </si>
  <si>
    <t>Water (MDPI)</t>
  </si>
  <si>
    <t>remove?? doesn't show up in top 25 search;they look at monthly rates of change (November having largest, May having smallest); useful reference to World Meteorological Organization (2019) stating that 30-year trends are best practice for climatic analyses, found only warming trends in these lakes</t>
  </si>
  <si>
    <t>https://www.mdpi.com/2073-4441/16/23/3347</t>
  </si>
  <si>
    <t>Lake Inari, Arctic zone</t>
  </si>
  <si>
    <t>point</t>
  </si>
  <si>
    <t>modelled using machine learning + air temp</t>
  </si>
  <si>
    <t>modelled</t>
  </si>
  <si>
    <t>Pinhas's method (linear regression + ANOVA)</t>
  </si>
  <si>
    <t>none--daily estimates</t>
  </si>
  <si>
    <t>annual (exluding ice period; Nov-Jun)</t>
  </si>
  <si>
    <r>
      <t>Kim, H. I., Kim, D., Salamattalab, M. M., Mahdian, M., Bateni, S. M., &amp; Noori, R. (2024). Machine learning-based modeling of surface water temperature dynamics in arctic lakes. </t>
    </r>
    <r>
      <rPr>
        <i/>
        <sz val="10"/>
        <color rgb="FF222222"/>
        <rFont val="Arial"/>
        <family val="2"/>
        <charset val="1"/>
      </rPr>
      <t>Environmental Science and Pollution Research</t>
    </r>
    <r>
      <rPr>
        <sz val="10"/>
        <color rgb="FF222222"/>
        <rFont val="Arial"/>
        <family val="2"/>
        <charset val="1"/>
      </rPr>
      <t>, </t>
    </r>
    <r>
      <rPr>
        <i/>
        <sz val="10"/>
        <color rgb="FF222222"/>
        <rFont val="Arial"/>
        <family val="2"/>
        <charset val="1"/>
      </rPr>
      <t>31</t>
    </r>
    <r>
      <rPr>
        <sz val="10"/>
        <color rgb="FF222222"/>
        <rFont val="Arial"/>
        <family val="2"/>
        <charset val="1"/>
      </rPr>
      <t>(49), 59642-59655.</t>
    </r>
  </si>
  <si>
    <t>Kim et al. 2004</t>
  </si>
  <si>
    <t>Environmental Science and Pollution Research</t>
  </si>
  <si>
    <t>they talk about Sen's slope but say Pinhas's method is better</t>
  </si>
  <si>
    <t>https://link-springer-com.ezproxy.waikato.ac.nz/article/10.1007/s11356-024-35173-x</t>
  </si>
  <si>
    <t>double-check the trend methodology, whether it was aggregated to mean (note from WW: I think they did not aggregate but ran the trend on all data)</t>
  </si>
  <si>
    <t>WW</t>
  </si>
  <si>
    <t>Europe</t>
  </si>
  <si>
    <t xml:space="preserve">In situ, satellite, used skin validation with bulk . Included a probability cloud mask after Musial et al. </t>
  </si>
  <si>
    <t>satellite</t>
  </si>
  <si>
    <t>Thiel–Sen</t>
  </si>
  <si>
    <r>
      <t>Lieberherr, G., &amp; Wunderle, S. (2018). Lake surface water temperature derived from 35 years of AVHRR sensor data for European lakes. </t>
    </r>
    <r>
      <rPr>
        <i/>
        <sz val="10"/>
        <color rgb="FF222222"/>
        <rFont val="Arial"/>
        <family val="2"/>
        <charset val="1"/>
      </rPr>
      <t>Remote sensing</t>
    </r>
    <r>
      <rPr>
        <sz val="10"/>
        <color rgb="FF222222"/>
        <rFont val="Arial"/>
        <family val="2"/>
        <charset val="1"/>
      </rPr>
      <t>, </t>
    </r>
    <r>
      <rPr>
        <i/>
        <sz val="10"/>
        <color rgb="FF222222"/>
        <rFont val="Arial"/>
        <family val="2"/>
        <charset val="1"/>
      </rPr>
      <t>10</t>
    </r>
    <r>
      <rPr>
        <sz val="10"/>
        <color rgb="FF222222"/>
        <rFont val="Arial"/>
        <family val="2"/>
        <charset val="1"/>
      </rPr>
      <t>(7), 990.</t>
    </r>
  </si>
  <si>
    <t>Lieberherr and Wunderle 2018</t>
  </si>
  <si>
    <t>Remote Sensing (MDPI)</t>
  </si>
  <si>
    <r>
      <rPr>
        <sz val="11"/>
        <color rgb="FF000000"/>
        <rFont val="Aptos Narrow"/>
        <family val="2"/>
      </rPr>
      <t xml:space="preserve">also calculate seasonal trends; Increasing trends from south (Lake Trichonida 0.21 K/decade,) to north (Inarijärvi 0.50 K/decade), and west (Thingvallavatn 0.38 K/decade) to east (Lake Onega 0.76 K/decade. </t>
    </r>
    <r>
      <rPr>
        <sz val="11"/>
        <color rgb="FF3C7D22"/>
        <rFont val="Aptos Narrow"/>
        <family val="2"/>
      </rPr>
      <t>"They talk about the correction methods for the skin to bulk difference and that it didn't improve the validation performance: "The method, applied to LSWT, only affects the systematic bias and has no effect on the variance of the error."  "Schneider and Hook  mention elevated summer trends in Northern Europe of up to around 0.8 K/dec"</t>
    </r>
  </si>
  <si>
    <t>https://www.mdpi.com/2072-4292/10/7/990 </t>
  </si>
  <si>
    <t>no discrepancies to resolve</t>
  </si>
  <si>
    <t>Tibetan Plateau</t>
  </si>
  <si>
    <t>In situ, Satellite, derived by MODIS and Land Surface Temperature (LST)</t>
  </si>
  <si>
    <t>Linear trend analysis, statistical significance</t>
  </si>
  <si>
    <t>winter</t>
  </si>
  <si>
    <r>
      <t xml:space="preserve">Wan, W., Zhao, L., Xie, H., Liu, B., Li, H., Cui, Y., ... &amp; Hong, Y. (2018). Lake surface water temperature change over the Tibetan plateau from 2001 to 2015: A sensitive indicator of the warming climate. </t>
    </r>
    <r>
      <rPr>
        <i/>
        <sz val="11"/>
        <color rgb="FF000000"/>
        <rFont val="Aptos Narrow"/>
        <family val="2"/>
      </rPr>
      <t>Geophysical Research Letters</t>
    </r>
    <r>
      <rPr>
        <sz val="11"/>
        <color rgb="FF000000"/>
        <rFont val="Aptos Narrow"/>
        <family val="2"/>
      </rPr>
      <t xml:space="preserve">, </t>
    </r>
    <r>
      <rPr>
        <i/>
        <sz val="11"/>
        <color rgb="FF000000"/>
        <rFont val="Aptos Narrow"/>
        <family val="2"/>
      </rPr>
      <t>45</t>
    </r>
    <r>
      <rPr>
        <sz val="11"/>
        <color rgb="FF000000"/>
        <rFont val="Aptos Narrow"/>
        <family val="2"/>
      </rPr>
      <t>(20), 11-177.</t>
    </r>
  </si>
  <si>
    <t>Wan et al. 2018</t>
  </si>
  <si>
    <t>Geophysical Research Letters</t>
  </si>
  <si>
    <r>
      <rPr>
        <sz val="11"/>
        <color rgb="FF000000"/>
        <rFont val="Aptos Narrow"/>
        <family val="2"/>
      </rPr>
      <t xml:space="preserve">Has warming </t>
    </r>
    <r>
      <rPr>
        <b/>
        <sz val="11"/>
        <color rgb="FF000000"/>
        <rFont val="Aptos Narrow"/>
        <family val="2"/>
      </rPr>
      <t>(0.076 °C/year) and cooling (−0.053 °C/year) lakes.  also reports seasonal means</t>
    </r>
  </si>
  <si>
    <t>https://agupubs.onlinelibrary.wiley.com/doi/full/10.1029/2018GL078601 </t>
  </si>
  <si>
    <t>annual rates match across three reviewers, but double-check whether seasonal rates should also be added (WW and MP include seasonal, which match each other, but MS did not include seasonal, confirm this should be added?)</t>
  </si>
  <si>
    <t>autumn</t>
  </si>
  <si>
    <t>spring</t>
  </si>
  <si>
    <t>China</t>
  </si>
  <si>
    <t>remote sensing skin temp (google earth engine + time series modelling to fill gaps)</t>
  </si>
  <si>
    <t>linear regression</t>
  </si>
  <si>
    <r>
      <rPr>
        <sz val="10"/>
        <color rgb="FF222222"/>
        <rFont val="Arial"/>
      </rPr>
      <t>Song, S., Yang, J., Liu, L., Bai, G., Zhou, J., &amp; McKay, D. (2024). Lake surface water temperature in China from 2001 to 2021 based on GEE and HANTS. </t>
    </r>
    <r>
      <rPr>
        <i/>
        <sz val="10"/>
        <color rgb="FF222222"/>
        <rFont val="Arial"/>
      </rPr>
      <t>Ecological Informatics</t>
    </r>
    <r>
      <rPr>
        <sz val="10"/>
        <color rgb="FF222222"/>
        <rFont val="Arial"/>
      </rPr>
      <t>, </t>
    </r>
    <r>
      <rPr>
        <i/>
        <sz val="10"/>
        <color rgb="FF222222"/>
        <rFont val="Arial"/>
      </rPr>
      <t>84</t>
    </r>
    <r>
      <rPr>
        <sz val="10"/>
        <color rgb="FF222222"/>
        <rFont val="Arial"/>
      </rPr>
      <t>, 102903.</t>
    </r>
  </si>
  <si>
    <t>Song et al. 2024</t>
  </si>
  <si>
    <t>Ecological Informatics</t>
  </si>
  <si>
    <t xml:space="preserve"> (726 of lakes were small, 1-5 km2); Fig 8 shows the effect of lake area and elevation LSWT change; they found nighttime temps increased more than daytime temps, looks like they use skin temperature without correcting for bulk temperature, also noted an abrupt change in the rate of LSWT change around 2010, good notes on reasons for slower rate of change in LSWT (no ice, models may exaggerate in other studies)</t>
  </si>
  <si>
    <t>https://www.sciencedirect.com/science/article/pii/S157495412400445X</t>
  </si>
  <si>
    <t>no discrepancies to be resolved</t>
  </si>
  <si>
    <t>Greece</t>
  </si>
  <si>
    <t>ERA5 skin surface temp (this is for each grid cell, not an individual lake though and therefore is sometimes representative of land-surface temps)</t>
  </si>
  <si>
    <t>Generalized Additive Models</t>
  </si>
  <si>
    <t>presumed annual</t>
  </si>
  <si>
    <r>
      <rPr>
        <sz val="10"/>
        <color rgb="FF222222"/>
        <rFont val="Arial"/>
      </rPr>
      <t>Stefanidis, K., Varlas, G., Papadopoulos, A., &amp; Dimitriou, E. (2021). Four decades of surface temperature, precipitation, and wind speed trends over lakes of Greece. </t>
    </r>
    <r>
      <rPr>
        <i/>
        <sz val="10"/>
        <color rgb="FF222222"/>
        <rFont val="Arial"/>
      </rPr>
      <t>Sustainability</t>
    </r>
    <r>
      <rPr>
        <sz val="10"/>
        <color rgb="FF222222"/>
        <rFont val="Arial"/>
      </rPr>
      <t>, </t>
    </r>
    <r>
      <rPr>
        <i/>
        <sz val="10"/>
        <color rgb="FF222222"/>
        <rFont val="Arial"/>
      </rPr>
      <t>13</t>
    </r>
    <r>
      <rPr>
        <sz val="10"/>
        <color rgb="FF222222"/>
        <rFont val="Arial"/>
      </rPr>
      <t>(17), 9908.</t>
    </r>
  </si>
  <si>
    <t>Stefanidis et al. 2021</t>
  </si>
  <si>
    <t>Sustainability (MDPI)</t>
  </si>
  <si>
    <t>Paper uses ERA5 climate and lake skin surface temp. Uses skin surface temperature without correctionhas several references for defending this</t>
  </si>
  <si>
    <t>https://www.mdpi.com/2071-1050/13/17/9908</t>
  </si>
  <si>
    <t>double check if monthly rates are given, seasonal rates should be calculated and added as a new row: note from WW: went back to the study and they refer to monthly average temps but don't report individual monthly rates so seasonal rates cannot be calculated, based on Figure 2, this looks like annual aggregation</t>
  </si>
  <si>
    <t>North Temperature lakes</t>
  </si>
  <si>
    <t>long-term dataset (with lake characteristics</t>
  </si>
  <si>
    <t>in situ</t>
  </si>
  <si>
    <r>
      <rPr>
        <sz val="10"/>
        <color rgb="FF222222"/>
        <rFont val="Arial"/>
      </rPr>
      <t>Zhou, J., Leavitt, P. R., Rose, K. C., Wang, X., Zhang, Y., Shi, K., &amp; Qin, B. (2023). Controls of thermal response of temperate lakes to atmospheric warming. </t>
    </r>
    <r>
      <rPr>
        <i/>
        <sz val="10"/>
        <color rgb="FF222222"/>
        <rFont val="Arial"/>
      </rPr>
      <t>Nature Communications</t>
    </r>
    <r>
      <rPr>
        <sz val="10"/>
        <color rgb="FF222222"/>
        <rFont val="Arial"/>
      </rPr>
      <t>, </t>
    </r>
    <r>
      <rPr>
        <i/>
        <sz val="10"/>
        <color rgb="FF222222"/>
        <rFont val="Arial"/>
      </rPr>
      <t>14</t>
    </r>
    <r>
      <rPr>
        <sz val="10"/>
        <color rgb="FF222222"/>
        <rFont val="Arial"/>
      </rPr>
      <t>(1), 6503.</t>
    </r>
  </si>
  <si>
    <t>Zhou et al. 2023</t>
  </si>
  <si>
    <t>Nature Communiations</t>
  </si>
  <si>
    <t>not on top 25 list, remove?? ; Summer temperatures (July 15 to August 31); random forest to calculate variables important for explaining future trends (i.e. differences between air and water); large methods section with description of different approaches</t>
  </si>
  <si>
    <t>Controls of thermal response of temperate lakes to atmospheric warming | Nature Communications</t>
  </si>
  <si>
    <t>Lake Biale Augustowskie (Poland)</t>
  </si>
  <si>
    <t>Observed</t>
  </si>
  <si>
    <t>Mann-Kendal and Sen</t>
  </si>
  <si>
    <r>
      <t>Ptak, M., Amnuaylojaroen, T., &amp; Sojka, M. (2024). Seven Decades of Surface Temperature Changes in Central European Lakes: What Is Next?. </t>
    </r>
    <r>
      <rPr>
        <i/>
        <sz val="10"/>
        <color rgb="FF222222"/>
        <rFont val="Arial"/>
        <family val="2"/>
        <charset val="1"/>
      </rPr>
      <t>Resources</t>
    </r>
    <r>
      <rPr>
        <sz val="10"/>
        <color rgb="FF222222"/>
        <rFont val="Arial"/>
        <family val="2"/>
        <charset val="1"/>
      </rPr>
      <t>, </t>
    </r>
    <r>
      <rPr>
        <i/>
        <sz val="10"/>
        <color rgb="FF222222"/>
        <rFont val="Arial"/>
        <family val="2"/>
        <charset val="1"/>
      </rPr>
      <t>13</t>
    </r>
    <r>
      <rPr>
        <sz val="10"/>
        <color rgb="FF222222"/>
        <rFont val="Arial"/>
        <family val="2"/>
        <charset val="1"/>
      </rPr>
      <t>(11), 149.</t>
    </r>
  </si>
  <si>
    <t>Ptak et al. 2024</t>
  </si>
  <si>
    <t>MDPI: Resources</t>
  </si>
  <si>
    <t>Table 4 for all year-to-year configurations</t>
  </si>
  <si>
    <t>https://www.mdpi.com/2079-9276/13/11/149#B23-resources-13-00149</t>
  </si>
  <si>
    <t>WW went back to this and confirmed historical trends (1954-2023) were done on observations, there are rates reported for each lake (Table 4) so I added a row for each lake. CB to confirm if this makes sense, as well as confirm the trend methodology</t>
  </si>
  <si>
    <t>Lake Studzieniczne (Poland)</t>
  </si>
  <si>
    <t>https://www.mdpi.com/2079-9276/13/11/149#B23-resources-13-00150</t>
  </si>
  <si>
    <t>Polish lowland lakes</t>
  </si>
  <si>
    <t>daily in situ measurements</t>
  </si>
  <si>
    <t>Mann Kendall trend test and Sen's slope, correlation coefficient btw LSWT and air temp</t>
  </si>
  <si>
    <t xml:space="preserve">Wang, R., Dong, W., Sun, J., Sojka, M., Ptak, M., &amp; Zhu, S. (2025). Long-Term Trends of Lake Surface Water Temperatures in Lowland Polish Temperate Lakes [Article]. Atmosphere, 16(2), Article 120. https://doi.org/10.3390/atmos16020120 </t>
  </si>
  <si>
    <t>Wang et al. 2025</t>
  </si>
  <si>
    <t>Atmosphere (MDPI)</t>
  </si>
  <si>
    <t>calculated correlation coefficients between LSWT and air temp trends in different seasons; showed different trends between annual mean and annual max, focus on differences across seasons, as well as relationship between water and air temperature</t>
  </si>
  <si>
    <t>https://www.mdpi.com/2073-4433/16/2/120</t>
  </si>
  <si>
    <t>WW: went back to this one and found that all seasonal rates should be added (digitized winter rate from table 6), as well as maximum annual and minimum annual (minimum digitized from Table 8)</t>
  </si>
  <si>
    <t>seasonal</t>
  </si>
  <si>
    <t>https://www.mdpi.com/2073-4433/16/2/121</t>
  </si>
  <si>
    <t>https://www.mdpi.com/2073-4433/16/2/122</t>
  </si>
  <si>
    <t>https://www.mdpi.com/2073-4433/16/2/123</t>
  </si>
  <si>
    <t>https://www.mdpi.com/2073-4433/16/2/124</t>
  </si>
  <si>
    <t>maximum</t>
  </si>
  <si>
    <t xml:space="preserve">annual </t>
  </si>
  <si>
    <t>https://www.mdpi.com/2073-4433/16/2/125</t>
  </si>
  <si>
    <t>minimum</t>
  </si>
  <si>
    <t>https://www.mdpi.com/2073-4433/16/2/126</t>
  </si>
  <si>
    <t>MODIS/Terra 8 day LST (nighttime)</t>
  </si>
  <si>
    <t>google scholar</t>
  </si>
  <si>
    <r>
      <t>Zhang, G., Yao, T., Xie, H., Qin, J., Ye, Q., Dai, Y., &amp; Guo, R. (2014). Estimating surface temperature changes of lakes in the Tibetan Plateau using MODIS LST data. </t>
    </r>
    <r>
      <rPr>
        <i/>
        <sz val="10"/>
        <color rgb="FF222222"/>
        <rFont val="Arial"/>
        <family val="2"/>
        <charset val="1"/>
      </rPr>
      <t>Journal of Geophysical Research: Atmospheres</t>
    </r>
    <r>
      <rPr>
        <sz val="10"/>
        <color rgb="FF222222"/>
        <rFont val="Arial"/>
        <family val="2"/>
        <charset val="1"/>
      </rPr>
      <t>, </t>
    </r>
    <r>
      <rPr>
        <i/>
        <sz val="10"/>
        <color rgb="FF222222"/>
        <rFont val="Arial"/>
        <family val="2"/>
        <charset val="1"/>
      </rPr>
      <t>119</t>
    </r>
    <r>
      <rPr>
        <sz val="10"/>
        <color rgb="FF222222"/>
        <rFont val="Arial"/>
        <family val="2"/>
        <charset val="1"/>
      </rPr>
      <t>(14), 8552-8567.</t>
    </r>
  </si>
  <si>
    <t>Zhang et al. 2014</t>
  </si>
  <si>
    <t>JGR Atmospheres</t>
  </si>
  <si>
    <t>used nighttime MODIS estimates, 40% of lakes cooled, trends over longer time period for one lake are also provided (Nam Co)</t>
  </si>
  <si>
    <t>https://agupubs.onlinelibrary.wiley.com/doi/full/10.1002/2014JD021615</t>
  </si>
  <si>
    <t xml:space="preserve">CB: 11 or 12years? </t>
  </si>
  <si>
    <t xml:space="preserve">MODIS/Terra 8 day LST </t>
  </si>
  <si>
    <t>annual (day)</t>
  </si>
  <si>
    <r>
      <t>Xie, C., Zhang, X., Zhuang, L., Zhu, R., &amp; Guo, J. (2022). Analysis of surface temperature variation of lakes in China using MODIS land surface temperature data. </t>
    </r>
    <r>
      <rPr>
        <i/>
        <sz val="10"/>
        <color rgb="FF222222"/>
        <rFont val="Arial"/>
        <family val="2"/>
        <charset val="1"/>
      </rPr>
      <t>Scientific Reports</t>
    </r>
    <r>
      <rPr>
        <sz val="10"/>
        <color rgb="FF222222"/>
        <rFont val="Arial"/>
        <family val="2"/>
        <charset val="1"/>
      </rPr>
      <t>, </t>
    </r>
    <r>
      <rPr>
        <i/>
        <sz val="10"/>
        <color rgb="FF222222"/>
        <rFont val="Arial"/>
        <family val="2"/>
        <charset val="1"/>
      </rPr>
      <t>12</t>
    </r>
    <r>
      <rPr>
        <sz val="10"/>
        <color rgb="FF222222"/>
        <rFont val="Arial"/>
        <family val="2"/>
        <charset val="1"/>
      </rPr>
      <t>(1), 2415.</t>
    </r>
  </si>
  <si>
    <t>Xie et al. 2022</t>
  </si>
  <si>
    <t>Scientific Reports</t>
  </si>
  <si>
    <t>also do a driver analysis: found that LSWT primarily driven by lat/long/altitude, with SA and vol as mediators</t>
  </si>
  <si>
    <t>https://www.nature.com/articles/s41598-022-06363-9</t>
  </si>
  <si>
    <t>WW: I went back and looked at this and they report daytime, nighttime, and the mean of these two. for fair comparison to other studies, let's report the day and nighttime estimates as separate rows, but not include the mean of the two. Let me know if you agree!</t>
  </si>
  <si>
    <t>annual (night)</t>
  </si>
  <si>
    <t>Xie et al. 2023</t>
  </si>
  <si>
    <t>https://www.nature.com/articles/s41598-022-06363-10</t>
  </si>
  <si>
    <t>Lake Chaohu</t>
  </si>
  <si>
    <t>modelled (GLM)</t>
  </si>
  <si>
    <r>
      <t xml:space="preserve">Zhang, X., Wang, K., Frassl, M. A., &amp; Boehrer, B. (2020). Reconstructing six decades of surface temperatures at a shallow lake. </t>
    </r>
    <r>
      <rPr>
        <i/>
        <sz val="11"/>
        <color rgb="FF000000"/>
        <rFont val="Aptos Narrow"/>
        <family val="2"/>
      </rPr>
      <t>Water</t>
    </r>
    <r>
      <rPr>
        <sz val="11"/>
        <color rgb="FF000000"/>
        <rFont val="Aptos Narrow"/>
        <family val="2"/>
      </rPr>
      <t xml:space="preserve">, </t>
    </r>
    <r>
      <rPr>
        <i/>
        <sz val="11"/>
        <color rgb="FF000000"/>
        <rFont val="Aptos Narrow"/>
        <family val="2"/>
      </rPr>
      <t>12</t>
    </r>
    <r>
      <rPr>
        <sz val="11"/>
        <color rgb="FF000000"/>
        <rFont val="Aptos Narrow"/>
        <family val="2"/>
      </rPr>
      <t>(2), 405.</t>
    </r>
  </si>
  <si>
    <t>Zhang et al. 2020</t>
  </si>
  <si>
    <t>MDPI: Water</t>
  </si>
  <si>
    <t>have insitu and MODIS data which were used to calibrate GLM but do not report trends on these data</t>
  </si>
  <si>
    <t>https://www.mdpi.com/2073-4441/12/2/405</t>
  </si>
  <si>
    <t>double-check units of rate in original paper, double-check if modelled or satellite data was used for water temperature, check the starting year of the study and the total number of years: WW went back and found that original units in paper are in C/year, so rate should be 0.05. from my understanding they used satellite data to calibrate GLM (process-based model) and then simulate that from 1960-2016, so the method should be GLM. then for the min year, the rate of 0.05C/year corresponds to 1980-2016 (following Figure 12)</t>
  </si>
  <si>
    <t>Lake Michigan</t>
  </si>
  <si>
    <t>MUR (satellite)</t>
  </si>
  <si>
    <t>linear regression (assumed)</t>
  </si>
  <si>
    <t>mean (assumed)</t>
  </si>
  <si>
    <r>
      <t>Crosman, E., Vazquez-Cuervo, J., &amp; Chin, T. M. (2017). Evaluation of the multi-scale ultra-high resolution (MUR) analysis of lake surface temperature. </t>
    </r>
    <r>
      <rPr>
        <i/>
        <sz val="10"/>
        <color rgb="FF222222"/>
        <rFont val="Arial"/>
        <family val="2"/>
        <charset val="1"/>
      </rPr>
      <t>Remote Sensing</t>
    </r>
    <r>
      <rPr>
        <sz val="10"/>
        <color rgb="FF222222"/>
        <rFont val="Arial"/>
        <family val="2"/>
        <charset val="1"/>
      </rPr>
      <t>, </t>
    </r>
    <r>
      <rPr>
        <i/>
        <sz val="10"/>
        <color rgb="FF222222"/>
        <rFont val="Arial"/>
        <family val="2"/>
        <charset val="1"/>
      </rPr>
      <t>9</t>
    </r>
    <r>
      <rPr>
        <sz val="10"/>
        <color rgb="FF222222"/>
        <rFont val="Arial"/>
        <family val="2"/>
        <charset val="1"/>
      </rPr>
      <t>(7), 723.</t>
    </r>
  </si>
  <si>
    <t>Crosman et al. 2017</t>
  </si>
  <si>
    <t>Remote Sensing</t>
  </si>
  <si>
    <t>not very much detail about how trends were calculated, made some assumptions</t>
  </si>
  <si>
    <t>https://www.mdpi.com/2072-4292/9/7/723</t>
  </si>
  <si>
    <t>Lake Okeechobee</t>
  </si>
  <si>
    <t>Lake Oneida</t>
  </si>
  <si>
    <t>in situ sensor</t>
  </si>
  <si>
    <r>
      <t>Woolway, R. I., Weyhenmeyer, G. A., Schmid, M., Dokulil, M. T., de Eyto, E., Maberly, S. C., ... &amp; Merchant, C. J. (2019). Substantial increase in minimum lake surface temperatures under climate change. </t>
    </r>
    <r>
      <rPr>
        <i/>
        <sz val="10"/>
        <color rgb="FF222222"/>
        <rFont val="Arial"/>
        <family val="2"/>
        <charset val="1"/>
      </rPr>
      <t>Climatic Change</t>
    </r>
    <r>
      <rPr>
        <sz val="10"/>
        <color rgb="FF222222"/>
        <rFont val="Arial"/>
        <family val="2"/>
        <charset val="1"/>
      </rPr>
      <t>, </t>
    </r>
    <r>
      <rPr>
        <i/>
        <sz val="10"/>
        <color rgb="FF222222"/>
        <rFont val="Arial"/>
        <family val="2"/>
        <charset val="1"/>
      </rPr>
      <t>155</t>
    </r>
    <r>
      <rPr>
        <sz val="10"/>
        <color rgb="FF222222"/>
        <rFont val="Arial"/>
        <family val="2"/>
        <charset val="1"/>
      </rPr>
      <t>, 81-94.</t>
    </r>
  </si>
  <si>
    <t>Woolway et al. 2019a</t>
  </si>
  <si>
    <t>Climatic Change</t>
  </si>
  <si>
    <t>https://link-springer-com.ezproxy.waikato.ac.nz/article/10.1007/s10584-019-02465-y</t>
  </si>
  <si>
    <t>double-check if they used in situ or modelled data to measure water temp, also check if they aggregated to mean or minimum for summer and annual estimates : note from WW: I looked back and the abstract specifies that the summer estimate is a mean, not a min, the HADISD data is for air temp not LSWT, so the method should be in situ I think</t>
  </si>
  <si>
    <t>summer (July-Aug-Sept)</t>
  </si>
  <si>
    <t>Lake Taihu</t>
  </si>
  <si>
    <t>MODIS</t>
  </si>
  <si>
    <t>summer(night)</t>
  </si>
  <si>
    <t>summer (night)</t>
  </si>
  <si>
    <r>
      <t>Liu, G., Ou, W., Zhang, Y., Wu, T., Zhu, G., Shi, K., &amp; Qin, B. (2015). Validating and mapping surface water temperatures in Lake Taihu: Results from MODIS land surface temperature products. </t>
    </r>
    <r>
      <rPr>
        <i/>
        <sz val="10"/>
        <color rgb="FF222222"/>
        <rFont val="Arial"/>
        <family val="2"/>
        <charset val="1"/>
      </rPr>
      <t>IEEE Journal of Selected Topics in Applied Earth Observations and Remote Sensing</t>
    </r>
    <r>
      <rPr>
        <sz val="10"/>
        <color rgb="FF222222"/>
        <rFont val="Arial"/>
        <family val="2"/>
        <charset val="1"/>
      </rPr>
      <t>, </t>
    </r>
    <r>
      <rPr>
        <i/>
        <sz val="10"/>
        <color rgb="FF222222"/>
        <rFont val="Arial"/>
        <family val="2"/>
        <charset val="1"/>
      </rPr>
      <t>8</t>
    </r>
    <r>
      <rPr>
        <sz val="10"/>
        <color rgb="FF222222"/>
        <rFont val="Arial"/>
        <family val="2"/>
        <charset val="1"/>
      </rPr>
      <t>(3), 1230-1244.</t>
    </r>
  </si>
  <si>
    <t>Liu et al. 2015</t>
  </si>
  <si>
    <t>IEEE</t>
  </si>
  <si>
    <t>nighttime</t>
  </si>
  <si>
    <t>https://ieeexplore.ieee.org/abstract/document/7008836</t>
  </si>
  <si>
    <t>double-check if this was a summer or annual rateand whether it was day or night: WW: after reading again, I think these are summer (nighttime) estimates</t>
  </si>
  <si>
    <t>Lake Giles</t>
  </si>
  <si>
    <t>none</t>
  </si>
  <si>
    <t>summer (single value taken in July every year)</t>
  </si>
  <si>
    <r>
      <t>Pilla, R. M., Williamson, C. E., Zhang, J., Smyth, R. L., Lenters, J. D., Brentrup, J. A., ... &amp; Fisher, T. J. (2018). Browning‐related decreases in water transparency lead to long‐term increases in surface water temperature and thermal stratification in two small lakes. </t>
    </r>
    <r>
      <rPr>
        <i/>
        <sz val="10"/>
        <color rgb="FF222222"/>
        <rFont val="Arial"/>
        <family val="2"/>
        <charset val="1"/>
      </rPr>
      <t>Journal of Geophysical Research: Biogeosciences</t>
    </r>
    <r>
      <rPr>
        <sz val="10"/>
        <color rgb="FF222222"/>
        <rFont val="Arial"/>
        <family val="2"/>
        <charset val="1"/>
      </rPr>
      <t>, </t>
    </r>
    <r>
      <rPr>
        <i/>
        <sz val="10"/>
        <color rgb="FF222222"/>
        <rFont val="Arial"/>
        <family val="2"/>
        <charset val="1"/>
      </rPr>
      <t>123</t>
    </r>
    <r>
      <rPr>
        <sz val="10"/>
        <color rgb="FF222222"/>
        <rFont val="Arial"/>
        <family val="2"/>
        <charset val="1"/>
      </rPr>
      <t>(5), 1651-1665.</t>
    </r>
  </si>
  <si>
    <t>Pilla et al. 2018</t>
  </si>
  <si>
    <t>Journal of Geophysical Research: Biogeosciences</t>
  </si>
  <si>
    <t>one profile taken per year in July, temperature taken from 2m depth</t>
  </si>
  <si>
    <t>https://agupubs.onlinelibrary.wiley.com/doi/full/10.1029/2017JG004321</t>
  </si>
  <si>
    <t>double-check the aggregation (mean, min, max) and whether this is summer or annual data: WW went back and looks like they calculated trends on one July estimate each year over the 27 years</t>
  </si>
  <si>
    <t>Lake Lacawac</t>
  </si>
  <si>
    <t>modelled (WRF-Lake)</t>
  </si>
  <si>
    <t>Ice free summer (July, Aug, Sept)</t>
  </si>
  <si>
    <r>
      <t xml:space="preserve">Shi, Y., Huang, A., Wu, Y., Lazhu, &amp; Wen, L. (2024). Trends of Summer Lake Surface Water Temperature on the Tibetan Plateau and Their Response to Climate Change. </t>
    </r>
    <r>
      <rPr>
        <i/>
        <sz val="11"/>
        <color rgb="FF000000"/>
        <rFont val="Aptos Narrow"/>
        <family val="2"/>
      </rPr>
      <t>Earth and Space Science</t>
    </r>
    <r>
      <rPr>
        <sz val="11"/>
        <color rgb="FF000000"/>
        <rFont val="Aptos Narrow"/>
        <family val="2"/>
      </rPr>
      <t xml:space="preserve">, </t>
    </r>
    <r>
      <rPr>
        <i/>
        <sz val="11"/>
        <color rgb="FF000000"/>
        <rFont val="Aptos Narrow"/>
        <family val="2"/>
      </rPr>
      <t>11</t>
    </r>
    <r>
      <rPr>
        <sz val="11"/>
        <color rgb="FF000000"/>
        <rFont val="Aptos Narrow"/>
        <family val="2"/>
      </rPr>
      <t>(12), e2024EA003910.</t>
    </r>
  </si>
  <si>
    <t>Shi et al., 2024</t>
  </si>
  <si>
    <t>Earth and Space Science</t>
  </si>
  <si>
    <t>used MODIS to validate model, assumed they took summer mean and performed linear regression but not explicitly stated</t>
  </si>
  <si>
    <t>https://agupubs.onlinelibrary.wiley.com/doi/full/10.1029/2024EA003910</t>
  </si>
  <si>
    <t>OR, MS</t>
  </si>
  <si>
    <t>double-check if they used modelled or satellite or both for water temperature  WW: first sentence of discussion appears to confirm that this is modeled LSWT to calculate summer trends</t>
  </si>
  <si>
    <t>modelled (FLake)</t>
  </si>
  <si>
    <r>
      <t>Huang, L., Wang, X., Yan, Y., Jin, L., Yang, K., Chen, A., ... &amp; Piao, S. (2023). Attribution of lake surface water temperature change in large lakes across China over past four decades. </t>
    </r>
    <r>
      <rPr>
        <i/>
        <sz val="10"/>
        <color rgb="FF222222"/>
        <rFont val="Arial"/>
        <family val="2"/>
        <charset val="1"/>
      </rPr>
      <t>Journal of Geophysical Research: Atmospheres</t>
    </r>
    <r>
      <rPr>
        <sz val="10"/>
        <color rgb="FF222222"/>
        <rFont val="Arial"/>
        <family val="2"/>
        <charset val="1"/>
      </rPr>
      <t>, </t>
    </r>
    <r>
      <rPr>
        <i/>
        <sz val="10"/>
        <color rgb="FF222222"/>
        <rFont val="Arial"/>
        <family val="2"/>
        <charset val="1"/>
      </rPr>
      <t>128</t>
    </r>
    <r>
      <rPr>
        <sz val="10"/>
        <color rgb="FF222222"/>
        <rFont val="Arial"/>
        <family val="2"/>
        <charset val="1"/>
      </rPr>
      <t>(21), e2022JD038465.</t>
    </r>
  </si>
  <si>
    <t>Huang et al., 2023</t>
  </si>
  <si>
    <t>84% of lakes warmed, but seven lakes showed cooling higher rates in winter and spring than summer and autumn; driver analysis shows air temp, longwave, and wind speed are most important drivers</t>
  </si>
  <si>
    <t>https://agupubs.onlinelibrary.wiley.com/doi/full/10.1029/2022JD038465</t>
  </si>
  <si>
    <t>double-check if there should be only annual or if seasonal rates are also reported (following MS): WW confirmed seasonal rates should also be added</t>
  </si>
  <si>
    <t>MP</t>
  </si>
  <si>
    <t>annual - ice free (&lt;1degC)</t>
  </si>
  <si>
    <r>
      <t>Tong, Y., Feng, L., Wang, X., Pi, X., Xu, W., &amp; Woolway, R. I. (2023). Global lakes are warming slower than surface air temperature due to accelerated evaporation. </t>
    </r>
    <r>
      <rPr>
        <i/>
        <sz val="10"/>
        <color rgb="FF222222"/>
        <rFont val="Arial"/>
        <family val="2"/>
        <charset val="1"/>
      </rPr>
      <t>Nature Water</t>
    </r>
    <r>
      <rPr>
        <sz val="10"/>
        <color rgb="FF222222"/>
        <rFont val="Arial"/>
        <family val="2"/>
        <charset val="1"/>
      </rPr>
      <t>, </t>
    </r>
    <r>
      <rPr>
        <i/>
        <sz val="10"/>
        <color rgb="FF222222"/>
        <rFont val="Arial"/>
        <family val="2"/>
        <charset val="1"/>
      </rPr>
      <t>1</t>
    </r>
    <r>
      <rPr>
        <sz val="10"/>
        <color rgb="FF222222"/>
        <rFont val="Arial"/>
        <family val="2"/>
        <charset val="1"/>
      </rPr>
      <t>(11), 929-940.</t>
    </r>
  </si>
  <si>
    <t>Tong et al. 2023</t>
  </si>
  <si>
    <t>Nature Water</t>
  </si>
  <si>
    <t>https://www.nature.com/articles/s44221-023-00148-8</t>
  </si>
  <si>
    <t>Lake Constance</t>
  </si>
  <si>
    <t>Scopus</t>
  </si>
  <si>
    <r>
      <t>Fink, G., Schmid, M., Wahl, B., Wolf, T., &amp; Wüest, A. (2014). Heat flux modifications related to climate‐induced warming of large European lakes. </t>
    </r>
    <r>
      <rPr>
        <i/>
        <sz val="10"/>
        <color rgb="FF222222"/>
        <rFont val="Arial"/>
        <family val="2"/>
        <charset val="1"/>
      </rPr>
      <t>Water Resources Research</t>
    </r>
    <r>
      <rPr>
        <sz val="10"/>
        <color rgb="FF222222"/>
        <rFont val="Arial"/>
        <family val="2"/>
        <charset val="1"/>
      </rPr>
      <t>, </t>
    </r>
    <r>
      <rPr>
        <i/>
        <sz val="10"/>
        <color rgb="FF222222"/>
        <rFont val="Arial"/>
        <family val="2"/>
        <charset val="1"/>
      </rPr>
      <t>50</t>
    </r>
    <r>
      <rPr>
        <sz val="10"/>
        <color rgb="FF222222"/>
        <rFont val="Arial"/>
        <family val="2"/>
        <charset val="1"/>
      </rPr>
      <t>(3), 2072-2085.</t>
    </r>
  </si>
  <si>
    <t>Fink et al. 2014</t>
  </si>
  <si>
    <t>Water Resources Research</t>
  </si>
  <si>
    <t>includes a table of other studies with LSWT rates</t>
  </si>
  <si>
    <t>https://agupubs.onlinelibrary.wiley.com/doi/full/10.1002/2013WR014448</t>
  </si>
  <si>
    <t>representative lake from thermal renalysis data (TRIMS-LST)</t>
  </si>
  <si>
    <r>
      <t>Qiu, Y., Chen, J., &amp; Chen, D. (2025). Changes in lake surface temperature on the Tibetan Plateau from 2000 to 2022 and their driving factors. </t>
    </r>
    <r>
      <rPr>
        <i/>
        <sz val="10"/>
        <color rgb="FF222222"/>
        <rFont val="Arial"/>
        <family val="2"/>
        <charset val="1"/>
      </rPr>
      <t>Science China Earth Sciences</t>
    </r>
    <r>
      <rPr>
        <sz val="10"/>
        <color rgb="FF222222"/>
        <rFont val="Arial"/>
        <family val="2"/>
        <charset val="1"/>
      </rPr>
      <t>, 1-15.</t>
    </r>
  </si>
  <si>
    <t>Qiu et al. 2025</t>
  </si>
  <si>
    <t>Science China Earth Sciences</t>
  </si>
  <si>
    <t>this is for a representative lake, not actual water bodies. they provide estimates for all four seasons as well, also do a random forest approach to explain rates of change</t>
  </si>
  <si>
    <t>https://link-springer-com.ezproxy.waikato.ac.nz/article/10.1007/s11430-024-1527-4</t>
  </si>
  <si>
    <t>this is for a representative lake, not actual water bodies. they provide estimates for all four seasons as well</t>
  </si>
  <si>
    <t>South Central Chilean lakes</t>
  </si>
  <si>
    <t>Mann-Kendall non-parametric test</t>
  </si>
  <si>
    <r>
      <t>Aranda, A. C., Rivera-Ruiz, D., Rodríguez-López, L., Pedreros, P., Arumí-Ribera, J. L., Morales-Salinas, L., ... &amp; Urrutia, R. (2021). Evidence of climate change based on lake surface temperature trends in south central Chile. </t>
    </r>
    <r>
      <rPr>
        <i/>
        <sz val="10"/>
        <color rgb="FF222222"/>
        <rFont val="Arial"/>
        <family val="2"/>
        <charset val="1"/>
      </rPr>
      <t>Remote Sensing</t>
    </r>
    <r>
      <rPr>
        <sz val="10"/>
        <color rgb="FF222222"/>
        <rFont val="Arial"/>
        <family val="2"/>
        <charset val="1"/>
      </rPr>
      <t>, </t>
    </r>
    <r>
      <rPr>
        <i/>
        <sz val="10"/>
        <color rgb="FF222222"/>
        <rFont val="Arial"/>
        <family val="2"/>
        <charset val="1"/>
      </rPr>
      <t>13</t>
    </r>
    <r>
      <rPr>
        <sz val="10"/>
        <color rgb="FF222222"/>
        <rFont val="Arial"/>
        <family val="2"/>
        <charset val="1"/>
      </rPr>
      <t>(22), 4535.</t>
    </r>
  </si>
  <si>
    <t>Aranda et al. 2021</t>
  </si>
  <si>
    <t>they do provide seasonal and monthly trends but the rates are not listed for all lakes in a complete way</t>
  </si>
  <si>
    <t>https://www.mdpi.com/2072-4292/13/22/4535</t>
  </si>
  <si>
    <t>Qinghai Lake</t>
  </si>
  <si>
    <r>
      <rPr>
        <sz val="10"/>
        <color rgb="FF222222"/>
        <rFont val="Arial"/>
      </rPr>
      <t>Su, D., Hu, X., Wen, L., Lyu, S., Gao, X., Zhao, L., ... &amp; Kirillin, G. (2019). Numerical study on the response of the largest lake in China to climate change. </t>
    </r>
    <r>
      <rPr>
        <i/>
        <sz val="10"/>
        <color rgb="FF222222"/>
        <rFont val="Arial"/>
      </rPr>
      <t>Hydrology and Earth System Sciences</t>
    </r>
    <r>
      <rPr>
        <sz val="10"/>
        <color rgb="FF222222"/>
        <rFont val="Arial"/>
      </rPr>
      <t>, </t>
    </r>
    <r>
      <rPr>
        <i/>
        <sz val="10"/>
        <color rgb="FF222222"/>
        <rFont val="Arial"/>
      </rPr>
      <t>23</t>
    </r>
    <r>
      <rPr>
        <sz val="10"/>
        <color rgb="FF222222"/>
        <rFont val="Arial"/>
      </rPr>
      <t>(4), 2093-2109.</t>
    </r>
  </si>
  <si>
    <t>Su et al. 2019</t>
  </si>
  <si>
    <t>Hydrology and Earth System Sciences</t>
  </si>
  <si>
    <t>trend methods were not directly stated</t>
  </si>
  <si>
    <t>https://hess.copernicus.org/articles/23/2093/2019/hess-23-2093-2019.html</t>
  </si>
  <si>
    <t>CB: 33 or 24 years? WW: confirmed this is 33 years (simulated LSWT from 1979-2012)</t>
  </si>
  <si>
    <t>Northern Hemisphere</t>
  </si>
  <si>
    <r>
      <t>Woolway, R. I., Merchant, C. J., Van Den Hoek, J., Azorin‐Molina, C., Nõges, P., Laas, A., ... &amp; Jones, I. D. (2019). Northern hemisphere atmospheric stilling accelerates lake thermal responses to a warming world. </t>
    </r>
    <r>
      <rPr>
        <i/>
        <sz val="10"/>
        <color rgb="FF222222"/>
        <rFont val="Arial"/>
        <family val="2"/>
        <charset val="1"/>
      </rPr>
      <t>Geophysical Research Letters</t>
    </r>
    <r>
      <rPr>
        <sz val="10"/>
        <color rgb="FF222222"/>
        <rFont val="Arial"/>
        <family val="2"/>
        <charset val="1"/>
      </rPr>
      <t>, </t>
    </r>
    <r>
      <rPr>
        <i/>
        <sz val="10"/>
        <color rgb="FF222222"/>
        <rFont val="Arial"/>
        <family val="2"/>
        <charset val="1"/>
      </rPr>
      <t>46</t>
    </r>
    <r>
      <rPr>
        <sz val="10"/>
        <color rgb="FF222222"/>
        <rFont val="Arial"/>
        <family val="2"/>
        <charset val="1"/>
      </rPr>
      <t>(21), 11983-11992.</t>
    </r>
  </si>
  <si>
    <t>Woolway et al. 2019b</t>
  </si>
  <si>
    <t>Note that they subset their trend analysis to only lakes which have experienced a reduction in wind speed, so this trend increase is likely exaggerated as it doesn't include the 228 lakes which experienced increased windspeeds, which would have potentially cooled the lakes</t>
  </si>
  <si>
    <t>https://agupubs.onlinelibrary.wiley.com/doi/full/10.1029/2019GL082752</t>
  </si>
  <si>
    <t>Dianchi Lake</t>
  </si>
  <si>
    <r>
      <rPr>
        <sz val="10"/>
        <color rgb="FF222222"/>
        <rFont val="Arial"/>
      </rPr>
      <t>Yang, J., Yang, K., Zhang, Y., Luo, Y., &amp; Shang, C. (2022). Maximum lake surface water temperatures changing characteristics under climate change. </t>
    </r>
    <r>
      <rPr>
        <i/>
        <sz val="10"/>
        <color rgb="FF222222"/>
        <rFont val="Arial"/>
      </rPr>
      <t>Environmental Science and Pollution Research</t>
    </r>
    <r>
      <rPr>
        <sz val="10"/>
        <color rgb="FF222222"/>
        <rFont val="Arial"/>
      </rPr>
      <t>, </t>
    </r>
    <r>
      <rPr>
        <i/>
        <sz val="10"/>
        <color rgb="FF222222"/>
        <rFont val="Arial"/>
      </rPr>
      <t>29</t>
    </r>
    <r>
      <rPr>
        <sz val="10"/>
        <color rgb="FF222222"/>
        <rFont val="Arial"/>
      </rPr>
      <t>(2), 2547-2554.</t>
    </r>
  </si>
  <si>
    <t>Yang et al., 2022</t>
  </si>
  <si>
    <t>https://link.springer.com/article/10.1007/s11356-021-15621-8</t>
  </si>
  <si>
    <t>check that these are maximum or mean aggregations. since Table 1 includes monthly rates, seasonal rates should be calculated and added</t>
  </si>
  <si>
    <t>Yang et al.,2022</t>
  </si>
  <si>
    <t>winter (day)</t>
  </si>
  <si>
    <t>Yang et al. 2022</t>
  </si>
  <si>
    <t>winter (night)</t>
  </si>
  <si>
    <t>spring (day)</t>
  </si>
  <si>
    <t>spring (night)</t>
  </si>
  <si>
    <t>summer (day)</t>
  </si>
  <si>
    <t>autumn (day)</t>
  </si>
  <si>
    <t>autumn (night)</t>
  </si>
  <si>
    <t>observational data</t>
  </si>
  <si>
    <t>non-parametric Mann-Kendall Test</t>
  </si>
  <si>
    <r>
      <t>Dokulil, M. T., de Eyto, E., Maberly, S. C., May, L., Weyhenmeyer, G. A., &amp; Woolway, R. I. (2021). Increasing maximum lake surface temperature under climate change. </t>
    </r>
    <r>
      <rPr>
        <i/>
        <sz val="11"/>
        <color rgb="FF161616"/>
        <rFont val="Source Sans Pro"/>
        <family val="2"/>
        <charset val="1"/>
      </rPr>
      <t>Climatic Change</t>
    </r>
    <r>
      <rPr>
        <sz val="11"/>
        <color rgb="FF161616"/>
        <rFont val="Source Sans Pro"/>
        <family val="2"/>
        <charset val="1"/>
      </rPr>
      <t> , </t>
    </r>
    <r>
      <rPr>
        <i/>
        <sz val="11"/>
        <color rgb="FF161616"/>
        <rFont val="Source Sans Pro"/>
        <family val="2"/>
        <charset val="1"/>
      </rPr>
      <t>165</t>
    </r>
    <r>
      <rPr>
        <sz val="11"/>
        <color rgb="FF161616"/>
        <rFont val="Source Sans Pro"/>
        <family val="2"/>
        <charset val="1"/>
      </rPr>
      <t> (3), 56. https://doi.org/10.1007/s10584-021-03085-1</t>
    </r>
  </si>
  <si>
    <t>Dokulil et al. 2021</t>
  </si>
  <si>
    <t>Climate Change</t>
  </si>
  <si>
    <t>cited in another paper</t>
  </si>
  <si>
    <t>Increasing maximum lake surface temperature under climate change | Climatic Change</t>
  </si>
  <si>
    <t>Adirondack lakes (New York)</t>
  </si>
  <si>
    <t>In situ, satellite</t>
  </si>
  <si>
    <r>
      <t>Azarderakhsh, M., Mossel, C., Bah, A. R., Malik, A., Khanom, F., Borrelli, J., ... &amp; Rose, K. (2025). Validation and Trend Analysis of Satellite-Derived Surface Water Temperature Observations Over Adirondack Lakes. </t>
    </r>
    <r>
      <rPr>
        <i/>
        <sz val="10"/>
        <color rgb="FF222222"/>
        <rFont val="Arial"/>
        <family val="2"/>
        <charset val="1"/>
      </rPr>
      <t>Environmental Advances</t>
    </r>
    <r>
      <rPr>
        <sz val="10"/>
        <color rgb="FF222222"/>
        <rFont val="Arial"/>
        <family val="2"/>
        <charset val="1"/>
      </rPr>
      <t>, 100662.</t>
    </r>
  </si>
  <si>
    <t>Azarderakhsh et al., 2024</t>
  </si>
  <si>
    <t>SSRN</t>
  </si>
  <si>
    <t xml:space="preserve">not on top 25 list, remove??; Landsat 5 and 7 </t>
  </si>
  <si>
    <t>Validation and Trend Analysis of Satellite-Derived Surface Water Temperature Observations Over Adirondack Lakes by Marzi Azarderakhsh, Carolien Mossel, Fahmeda Khanom, Aisha Malik, Abdou Bah, Jonathan Borrelli, Hamid Norouzi, Peter McIntyre, Kevin Rose :: SSRN</t>
  </si>
  <si>
    <t>Global</t>
  </si>
  <si>
    <t xml:space="preserve">satellite </t>
  </si>
  <si>
    <t>seasonal (July to September)</t>
  </si>
  <si>
    <r>
      <t>Woolway, R. I., Carrea, L., Merchant, C. J., Dokulil, M., de Eyto, E., DeGasperi, C., ... &amp; Weyhenmeyer, G. (2017). Lake surface temperature [in “State of the Climate in 2016”]. </t>
    </r>
    <r>
      <rPr>
        <i/>
        <sz val="10"/>
        <color rgb="FF000000"/>
        <rFont val="Arial"/>
        <family val="2"/>
        <charset val="1"/>
      </rPr>
      <t>Bulletin of the American Meteorological Society</t>
    </r>
    <r>
      <rPr>
        <sz val="10"/>
        <color rgb="FF000000"/>
        <rFont val="Arial"/>
        <family val="2"/>
        <charset val="1"/>
      </rPr>
      <t>, </t>
    </r>
    <r>
      <rPr>
        <i/>
        <sz val="10"/>
        <color rgb="FF000000"/>
        <rFont val="Arial"/>
        <family val="2"/>
        <charset val="1"/>
      </rPr>
      <t>98</t>
    </r>
    <r>
      <rPr>
        <sz val="10"/>
        <color rgb="FF000000"/>
        <rFont val="Arial"/>
        <family val="2"/>
        <charset val="1"/>
      </rPr>
      <t>(8), 13-14.</t>
    </r>
  </si>
  <si>
    <t>Woolway et al., 2017</t>
  </si>
  <si>
    <t>Bulletin of the American Meteorological Society</t>
  </si>
  <si>
    <t>NOTE: WW decided to delete the northern and southern hemisphere entries, as well as great lakes and keep only the global estimate</t>
  </si>
  <si>
    <t>https://centaur.reading.ac.uk/72001/1/Woolway_etal_SotC_2017.pdf</t>
  </si>
  <si>
    <t>ouble-check the global rate, method of measuring water temperature, method of calculating trend, the time period of which trends were calculated (annual_seasonal_data column), and the number of lakes focus just on global</t>
  </si>
  <si>
    <t>MA</t>
  </si>
  <si>
    <t>Canada</t>
  </si>
  <si>
    <t>satellite (Landsat)</t>
  </si>
  <si>
    <t>linear regression, Mann-Kendall test</t>
  </si>
  <si>
    <t>open water (June to September)</t>
  </si>
  <si>
    <r>
      <t>Attiah, G., Pour, H. K., &amp; Scott, K. A. (2023). Four decades of lake surface temperature in the Northwest Territories, Canada, using a lake-specific satellite-derived dataset. </t>
    </r>
    <r>
      <rPr>
        <i/>
        <sz val="10"/>
        <color rgb="FF222222"/>
        <rFont val="Arial"/>
        <family val="2"/>
        <charset val="1"/>
      </rPr>
      <t>Journal of Hydrology: Regional Studies</t>
    </r>
    <r>
      <rPr>
        <sz val="10"/>
        <color rgb="FF222222"/>
        <rFont val="Arial"/>
        <family val="2"/>
        <charset val="1"/>
      </rPr>
      <t>, </t>
    </r>
    <r>
      <rPr>
        <i/>
        <sz val="10"/>
        <color rgb="FF222222"/>
        <rFont val="Arial"/>
        <family val="2"/>
        <charset val="1"/>
      </rPr>
      <t>50</t>
    </r>
    <r>
      <rPr>
        <sz val="10"/>
        <color rgb="FF222222"/>
        <rFont val="Arial"/>
        <family val="2"/>
        <charset val="1"/>
      </rPr>
      <t>, 101571.</t>
    </r>
  </si>
  <si>
    <t>Attiah et al., 2023</t>
  </si>
  <si>
    <t>Journal of Hydrology: Regional Studies</t>
  </si>
  <si>
    <t>June to September</t>
  </si>
  <si>
    <t>Four decades of lake surface temperature in the Northwest Territories, Canada, using a lake-specific satellite-derived dataset - ScienceDirect</t>
  </si>
  <si>
    <t xml:space="preserve">double check trend methodology (I only saw Mann-Kendall?), check the temporal aggregation, was there a mean and maximum reported (I didn't see this); </t>
  </si>
  <si>
    <t>May</t>
  </si>
  <si>
    <t>October</t>
  </si>
  <si>
    <t>Lake Bracciano and Lake Martignano (Italy)</t>
  </si>
  <si>
    <r>
      <rPr>
        <sz val="10"/>
        <color rgb="FF222222"/>
        <rFont val="Arial"/>
      </rPr>
      <t>De Santis, D., Del Frate, F., &amp; Schiavon, G. (2021). Analysis of climate change effects on surface temperature in central-Italy lakes using satellite data time-series. </t>
    </r>
    <r>
      <rPr>
        <i/>
        <sz val="10"/>
        <color rgb="FF222222"/>
        <rFont val="Arial"/>
      </rPr>
      <t>Remote Sensing</t>
    </r>
    <r>
      <rPr>
        <sz val="10"/>
        <color rgb="FF222222"/>
        <rFont val="Arial"/>
      </rPr>
      <t>, </t>
    </r>
    <r>
      <rPr>
        <i/>
        <sz val="10"/>
        <color rgb="FF222222"/>
        <rFont val="Arial"/>
      </rPr>
      <t>14</t>
    </r>
    <r>
      <rPr>
        <sz val="10"/>
        <color rgb="FF222222"/>
        <rFont val="Arial"/>
      </rPr>
      <t>(1), 117.</t>
    </r>
  </si>
  <si>
    <t>De Santis et al., 2021</t>
  </si>
  <si>
    <t>Lake Bracciano and Lake Martignano</t>
  </si>
  <si>
    <r>
      <t>De Santis, D., Del Frate, F., &amp; Schiavon, G. (2021). Analysis of climate change effects on surface temperature in central-Italy lakes using satellite data time-series. </t>
    </r>
    <r>
      <rPr>
        <i/>
        <sz val="10"/>
        <color rgb="FF222222"/>
        <rFont val="Arial"/>
        <family val="2"/>
        <charset val="1"/>
      </rPr>
      <t>Remote Sensing</t>
    </r>
    <r>
      <rPr>
        <sz val="10"/>
        <color rgb="FF222222"/>
        <rFont val="Arial"/>
        <family val="2"/>
        <charset val="1"/>
      </rPr>
      <t>, </t>
    </r>
    <r>
      <rPr>
        <i/>
        <sz val="10"/>
        <color rgb="FF222222"/>
        <rFont val="Arial"/>
        <family val="2"/>
        <charset val="1"/>
      </rPr>
      <t>14</t>
    </r>
    <r>
      <rPr>
        <sz val="10"/>
        <color rgb="FF222222"/>
        <rFont val="Arial"/>
        <family val="2"/>
        <charset val="1"/>
      </rPr>
      <t>(1), 117.</t>
    </r>
  </si>
  <si>
    <t>Southeast Asia</t>
  </si>
  <si>
    <t>Mann-Kendall, Sen's approach</t>
  </si>
  <si>
    <t>Scopuis</t>
  </si>
  <si>
    <r>
      <t>Virdis, S. G. P., Kongwarakom, S., Juneng, L., Padedda, B. M., &amp; Shrestha, S. (2024). Historical and projected response of Southeast Asian lakes surface water temperature to warming climate. </t>
    </r>
    <r>
      <rPr>
        <i/>
        <sz val="10"/>
        <color rgb="FF222222"/>
        <rFont val="Arial"/>
        <family val="2"/>
        <charset val="1"/>
      </rPr>
      <t>Environmental Research</t>
    </r>
    <r>
      <rPr>
        <sz val="10"/>
        <color rgb="FF222222"/>
        <rFont val="Arial"/>
        <family val="2"/>
        <charset val="1"/>
      </rPr>
      <t>, </t>
    </r>
    <r>
      <rPr>
        <i/>
        <sz val="10"/>
        <color rgb="FF222222"/>
        <rFont val="Arial"/>
        <family val="2"/>
        <charset val="1"/>
      </rPr>
      <t>247</t>
    </r>
    <r>
      <rPr>
        <sz val="10"/>
        <color rgb="FF222222"/>
        <rFont val="Arial"/>
        <family val="2"/>
        <charset val="1"/>
      </rPr>
      <t>, 118412.</t>
    </r>
  </si>
  <si>
    <t>Virdis et al., 2024</t>
  </si>
  <si>
    <t>Historical and projected response of Southeast Asian lakes surface water temperature to warming climate - ScienceDirect</t>
  </si>
  <si>
    <t>Environmental Research</t>
  </si>
  <si>
    <t>ERA5-Land</t>
  </si>
  <si>
    <r>
      <t>Stefanidis, K., Varlas, G., Papaioannou, G., Papadopoulos, A., &amp; Dimitriou, E. (2022). Trends of lake temperature, mixing depth and ice cover thickness of European lakes during the last four decades. </t>
    </r>
    <r>
      <rPr>
        <i/>
        <sz val="10"/>
        <color rgb="FF222222"/>
        <rFont val="Arial"/>
        <family val="2"/>
        <charset val="1"/>
      </rPr>
      <t>Science of the Total Environment</t>
    </r>
    <r>
      <rPr>
        <sz val="10"/>
        <color rgb="FF222222"/>
        <rFont val="Arial"/>
        <family val="2"/>
        <charset val="1"/>
      </rPr>
      <t>, </t>
    </r>
    <r>
      <rPr>
        <i/>
        <sz val="10"/>
        <color rgb="FF222222"/>
        <rFont val="Arial"/>
        <family val="2"/>
        <charset val="1"/>
      </rPr>
      <t>830</t>
    </r>
    <r>
      <rPr>
        <sz val="10"/>
        <color rgb="FF222222"/>
        <rFont val="Arial"/>
        <family val="2"/>
        <charset val="1"/>
      </rPr>
      <t>, 154709.</t>
    </r>
  </si>
  <si>
    <t>Stefanidis et al. 2022</t>
  </si>
  <si>
    <t>Science of the Total Environment</t>
  </si>
  <si>
    <t>Trends of lake temperature, mixing depth and ice cover thickness of European lakes during the last four decades - ScienceDirect</t>
  </si>
  <si>
    <t>observed</t>
  </si>
  <si>
    <r>
      <rPr>
        <sz val="10"/>
        <color rgb="FF222222"/>
        <rFont val="Arial"/>
      </rPr>
      <t>Czernecki, B., &amp; Ptak, M. (2018). The impact of global warming on lake surface water temperature in Poland-the application of empirical-statistical downscaling, 1971-2100. </t>
    </r>
    <r>
      <rPr>
        <i/>
        <sz val="10"/>
        <color rgb="FF222222"/>
        <rFont val="Arial"/>
      </rPr>
      <t>Journal of Limnology</t>
    </r>
    <r>
      <rPr>
        <sz val="10"/>
        <color rgb="FF222222"/>
        <rFont val="Arial"/>
      </rPr>
      <t>, </t>
    </r>
    <r>
      <rPr>
        <i/>
        <sz val="10"/>
        <color rgb="FF222222"/>
        <rFont val="Arial"/>
      </rPr>
      <t>77</t>
    </r>
    <r>
      <rPr>
        <sz val="10"/>
        <color rgb="FF222222"/>
        <rFont val="Arial"/>
      </rPr>
      <t>(2).</t>
    </r>
  </si>
  <si>
    <t>Czernecki &amp; Ptak, 2018</t>
  </si>
  <si>
    <t>Journal of Limnology</t>
  </si>
  <si>
    <t>Layout 1</t>
  </si>
  <si>
    <t>double-check if satellite or insitu data was used,  double-check aggregation (mean, min, max etc), double-check end year and total number of years</t>
  </si>
  <si>
    <t>linear regression across the annual/seasonal mean</t>
  </si>
  <si>
    <t>GoogleScholar</t>
  </si>
  <si>
    <t>Wan et al., 2018</t>
  </si>
  <si>
    <t>Study conducted on occupied country by researchers from metropole. I'd argue we shouldn't consider it for ethical reasons.</t>
  </si>
  <si>
    <t>https://agupubs.onlinelibrary.wiley.com/doi/full/10.1029/2018GL078601</t>
  </si>
  <si>
    <t>MS</t>
  </si>
  <si>
    <t>GLSEA</t>
  </si>
  <si>
    <r>
      <t xml:space="preserve">Anderson, E.J., Stow, C.A., Gronewold, A.D. </t>
    </r>
    <r>
      <rPr>
        <i/>
        <sz val="11"/>
        <color rgb="FF000000"/>
        <rFont val="Aptos Narrow"/>
        <family val="2"/>
      </rPr>
      <t>et al.</t>
    </r>
    <r>
      <rPr>
        <sz val="11"/>
        <color rgb="FF000000"/>
        <rFont val="Aptos Narrow"/>
        <family val="2"/>
      </rPr>
      <t xml:space="preserve"> Seasonal overturn and stratification changes drive deep-water warming in one of Earth’s largest lakes. </t>
    </r>
    <r>
      <rPr>
        <i/>
        <sz val="11"/>
        <color rgb="FF000000"/>
        <rFont val="Aptos Narrow"/>
        <family val="2"/>
      </rPr>
      <t>Nat Commun</t>
    </r>
    <r>
      <rPr>
        <sz val="11"/>
        <color rgb="FF000000"/>
        <rFont val="Aptos Narrow"/>
        <family val="2"/>
      </rPr>
      <t xml:space="preserve"> </t>
    </r>
    <r>
      <rPr>
        <b/>
        <sz val="11"/>
        <color rgb="FF000000"/>
        <rFont val="Aptos Narrow"/>
        <family val="2"/>
      </rPr>
      <t>12</t>
    </r>
    <r>
      <rPr>
        <sz val="11"/>
        <color rgb="FF000000"/>
        <rFont val="Aptos Narrow"/>
        <family val="2"/>
      </rPr>
      <t>, 1688 (2021). https://doi.org/10.1038/s41467-021-21971-1</t>
    </r>
  </si>
  <si>
    <t xml:space="preserve"> Anderson et al., 2021</t>
  </si>
  <si>
    <t>Nature Communications</t>
  </si>
  <si>
    <t>they also report a rate using linear regressionand seasonal trend decomposition but have chosen sen's slope here</t>
  </si>
  <si>
    <t>https://www.nature.com/articles/s41467-021-21971-1</t>
  </si>
  <si>
    <t>Simulation, modelling</t>
  </si>
  <si>
    <t>Theil-Sen method</t>
  </si>
  <si>
    <t>scholar/scopus</t>
  </si>
  <si>
    <t>Journal of Geophysical Research: Atmospheres</t>
  </si>
  <si>
    <r>
      <rPr>
        <sz val="10"/>
        <color rgb="FF222222"/>
        <rFont val="Arial"/>
      </rPr>
      <t>Huang, L., Wang, X., Yan, Y., Jin, L., Yang, K., Chen, A., ... &amp; Piao, S. (2023). Attribution of lake surface water temperature change in large lakes across China over past four decades. </t>
    </r>
    <r>
      <rPr>
        <i/>
        <sz val="10"/>
        <color rgb="FF222222"/>
        <rFont val="Arial"/>
      </rPr>
      <t>Journal of Geophysical Research: Atmospheres</t>
    </r>
    <r>
      <rPr>
        <sz val="10"/>
        <color rgb="FF222222"/>
        <rFont val="Arial"/>
      </rPr>
      <t>, </t>
    </r>
    <r>
      <rPr>
        <i/>
        <sz val="10"/>
        <color rgb="FF222222"/>
        <rFont val="Arial"/>
      </rPr>
      <t>128</t>
    </r>
    <r>
      <rPr>
        <sz val="10"/>
        <color rgb="FF222222"/>
        <rFont val="Arial"/>
      </rPr>
      <t>(21), e2022JD038465.</t>
    </r>
  </si>
  <si>
    <t>Lake Kinneret</t>
  </si>
  <si>
    <t>month-to-month observations</t>
  </si>
  <si>
    <t>None: they estimated trends on deseasonalized monthly observations</t>
  </si>
  <si>
    <r>
      <t xml:space="preserve">Kishcha, P., Starobinets, B., Lechinsky, Y., &amp; Alpert, P. (2021). Absence of surface water temperature trends in lake kinneret despite present atmospheric warming: Comparisons with dead sea trends. </t>
    </r>
    <r>
      <rPr>
        <i/>
        <sz val="11"/>
        <color rgb="FF000000"/>
        <rFont val="Aptos Narrow"/>
        <family val="2"/>
      </rPr>
      <t>Remote Sensing (Basel, Switzerland)</t>
    </r>
    <r>
      <rPr>
        <sz val="11"/>
        <color rgb="FF000000"/>
        <rFont val="Aptos Narrow"/>
        <family val="2"/>
      </rPr>
      <t xml:space="preserve">, </t>
    </r>
    <r>
      <rPr>
        <i/>
        <sz val="11"/>
        <color rgb="FF000000"/>
        <rFont val="Aptos Narrow"/>
        <family val="2"/>
      </rPr>
      <t>13</t>
    </r>
    <r>
      <rPr>
        <sz val="11"/>
        <color rgb="FF000000"/>
        <rFont val="Aptos Narrow"/>
        <family val="2"/>
      </rPr>
      <t>(17), 3461-. https://doi.org/10.3390/rs13173461</t>
    </r>
  </si>
  <si>
    <t>Kishcha et al., 2021</t>
  </si>
  <si>
    <t>https://www.proquest.com/docview/2571500367?accountid=17287&amp;parentSessionId=Nt8kVhIVr4AxkPgmZGK0CsCFas3u1AHSNsqXgNfVtSg%3D&amp;pq-origsite=primo&amp;sourcetype=Scholarly%20Journals</t>
  </si>
  <si>
    <t>summer (June - August)</t>
  </si>
  <si>
    <t>MODIS-terra</t>
  </si>
  <si>
    <t>Linear fit</t>
  </si>
  <si>
    <t>summer  (June-August)</t>
  </si>
  <si>
    <t>MODIS-Terra</t>
  </si>
  <si>
    <t>Kischcha et al. 2021</t>
  </si>
  <si>
    <t>I found the study also reported in situ trends and added those as separate rows (these appear to be mean monthly obs); for Lake Kinneret satellite trends, can you confirm the 0.05 trend is MODIS-Terra (they also report MODIS-Aqua with a different value); summer rates should also be added for in situ, Lake Kinneret (MODIS Terra) and Dead Sea (MODIS Terra); MODIS-Terra summer rates taken from Figure 14; I did not find the 0C/year annual trend for the Dead Sea (only a summer trend of 0.08)</t>
  </si>
  <si>
    <t>Dead Sea</t>
  </si>
  <si>
    <t>Liu et al., 2015</t>
  </si>
  <si>
    <t>IEEE Journal of Selected Topics in Applied Earth Observations and Remote Sensing</t>
  </si>
  <si>
    <t>night time temperatures</t>
  </si>
  <si>
    <t>Himalayan lake region - Wular lake</t>
  </si>
  <si>
    <t>Mann-Kendall (MK), nonparametric rank based technique</t>
  </si>
  <si>
    <r>
      <t xml:space="preserve">Mushtaq, F., Ahmed, P., &amp; Nee Lala, M. G. (2020). Variability of lake surface water temperature: a case study during El Nino and La Nina events over the Himalayan lake region. </t>
    </r>
    <r>
      <rPr>
        <i/>
        <sz val="11"/>
        <color rgb="FF000000"/>
        <rFont val="Aptos Narrow"/>
        <family val="2"/>
      </rPr>
      <t>Physical Geography</t>
    </r>
    <r>
      <rPr>
        <sz val="11"/>
        <color rgb="FF000000"/>
        <rFont val="Aptos Narrow"/>
        <family val="2"/>
      </rPr>
      <t xml:space="preserve">, </t>
    </r>
    <r>
      <rPr>
        <i/>
        <sz val="11"/>
        <color rgb="FF000000"/>
        <rFont val="Aptos Narrow"/>
        <family val="2"/>
      </rPr>
      <t>42</t>
    </r>
    <r>
      <rPr>
        <sz val="11"/>
        <color rgb="FF000000"/>
        <rFont val="Aptos Narrow"/>
        <family val="2"/>
      </rPr>
      <t>(3), 240–264. https://doi.org/10.1080/02723646.2020.1751386</t>
    </r>
  </si>
  <si>
    <t>Mushtaq et al., 2020</t>
  </si>
  <si>
    <t>Physical Geography</t>
  </si>
  <si>
    <t>day and night temperature show different trends</t>
  </si>
  <si>
    <t>https://www.tandfonline.com/doi/full/10.1080/02723646.2020.1751386#abstract</t>
  </si>
  <si>
    <t>regression</t>
  </si>
  <si>
    <t>MOD11A2</t>
  </si>
  <si>
    <t>linear regression equation</t>
  </si>
  <si>
    <r>
      <rPr>
        <sz val="10"/>
        <color rgb="FF222222"/>
        <rFont val="Arial"/>
      </rPr>
      <t>Tang, L., Yang, K., Shang, C., Peng, Z., &amp; Luo, Y. (2022). Spatial impact of urban expansion on lake surface water temperature based on the perspective of watershed scale. </t>
    </r>
    <r>
      <rPr>
        <i/>
        <sz val="10"/>
        <color rgb="FF222222"/>
        <rFont val="Arial"/>
      </rPr>
      <t>Frontiers in Environmental Science</t>
    </r>
    <r>
      <rPr>
        <sz val="10"/>
        <color rgb="FF222222"/>
        <rFont val="Arial"/>
      </rPr>
      <t>, </t>
    </r>
    <r>
      <rPr>
        <i/>
        <sz val="10"/>
        <color rgb="FF222222"/>
        <rFont val="Arial"/>
      </rPr>
      <t>10</t>
    </r>
    <r>
      <rPr>
        <sz val="10"/>
        <color rgb="FF222222"/>
        <rFont val="Arial"/>
      </rPr>
      <t>, 991502.</t>
    </r>
  </si>
  <si>
    <t>Tang et al., 2022</t>
  </si>
  <si>
    <t>Frontiers in Environmental Science</t>
  </si>
  <si>
    <t>https://www.frontiersin.org/journals/environmental-science/articles/10.3389/fenvs.2022.991502/full</t>
  </si>
  <si>
    <t>Sardinia</t>
  </si>
  <si>
    <t>MODIS, Landsat and long-term in situ temperature observations</t>
  </si>
  <si>
    <t>Mann-Kendall test and Sen's slope</t>
  </si>
  <si>
    <r>
      <t xml:space="preserve">Virdis, S. G. P., Soodcharoen, N., Lugliè, A., &amp; Padedda, B. M. (2020). Estimation of satellite-derived lake water surface temperatures in the western Mediterranean: Integrating multi-source, multi-resolution imagery and a long-term field dataset using a time series approach. </t>
    </r>
    <r>
      <rPr>
        <i/>
        <sz val="11"/>
        <color rgb="FF000000"/>
        <rFont val="Aptos Narrow"/>
        <family val="2"/>
      </rPr>
      <t>The Science of the total environment</t>
    </r>
    <r>
      <rPr>
        <sz val="11"/>
        <color rgb="FF000000"/>
        <rFont val="Aptos Narrow"/>
        <family val="2"/>
      </rPr>
      <t xml:space="preserve">, </t>
    </r>
    <r>
      <rPr>
        <i/>
        <sz val="11"/>
        <color rgb="FF000000"/>
        <rFont val="Aptos Narrow"/>
        <family val="2"/>
      </rPr>
      <t>707</t>
    </r>
    <r>
      <rPr>
        <sz val="11"/>
        <color rgb="FF000000"/>
        <rFont val="Aptos Narrow"/>
        <family val="2"/>
      </rPr>
      <t>, 135567. https://doi.org/10.1016/j.scitotenv.2019.135567</t>
    </r>
  </si>
  <si>
    <t>Virdis et al., 2020</t>
  </si>
  <si>
    <t>also data for winter and summer trends reported in study</t>
  </si>
  <si>
    <t>https://www.sciencedirect.com/science/article/pii/S0048969719355627?pes=vor&amp;utm_source=scopus&amp;getft_integrator=scopus</t>
  </si>
  <si>
    <t>Summer</t>
  </si>
  <si>
    <t>Winter</t>
  </si>
  <si>
    <t>Google Scholar</t>
  </si>
  <si>
    <t>Yunnan-Guizhou Plateau</t>
  </si>
  <si>
    <t>MOD11A2 and simulated using (BPANN)</t>
  </si>
  <si>
    <t>Mann-Kendall</t>
  </si>
  <si>
    <r>
      <t xml:space="preserve">Yu, Z., Yang, K., Luo, Y., Shang, C., &amp; Zhu, Y. (2020). Lake surface water temperature prediction and changing characteristics analysis-A case study of 11 natural lakes in Yunnan-Guizhou Plateau. </t>
    </r>
    <r>
      <rPr>
        <i/>
        <sz val="11"/>
        <color rgb="FF000000"/>
        <rFont val="Aptos Narrow"/>
        <family val="2"/>
      </rPr>
      <t>Journal of Cleaner Production</t>
    </r>
    <r>
      <rPr>
        <sz val="11"/>
        <color rgb="FF000000"/>
        <rFont val="Aptos Narrow"/>
        <family val="2"/>
      </rPr>
      <t xml:space="preserve">, </t>
    </r>
    <r>
      <rPr>
        <i/>
        <sz val="11"/>
        <color rgb="FF000000"/>
        <rFont val="Aptos Narrow"/>
        <family val="2"/>
      </rPr>
      <t>276</t>
    </r>
    <r>
      <rPr>
        <sz val="11"/>
        <color rgb="FF000000"/>
        <rFont val="Aptos Narrow"/>
        <family val="2"/>
      </rPr>
      <t>, 122689.</t>
    </r>
  </si>
  <si>
    <t>Yu et al., 2020</t>
  </si>
  <si>
    <t>Journal of Cleaner Production</t>
  </si>
  <si>
    <t>https://www.sciencedirect.com/science/article/pii/S0959652620327360</t>
  </si>
  <si>
    <t>double-check why rates are different, i changed my rate no idea where that one came from</t>
  </si>
  <si>
    <t>Zhang et al., 2020</t>
  </si>
  <si>
    <t>Water (Switzerland)</t>
  </si>
  <si>
    <t>Patagonia Ice Field</t>
  </si>
  <si>
    <t>MOD11A2 and MYD11A2</t>
  </si>
  <si>
    <t>pobably linear regression analysis</t>
  </si>
  <si>
    <t xml:space="preserve">Zhao, S., Sun, H., Cheng, J., &amp; Zhang, G. (2025). Water Surface Temperature Dynamics of the Three Largest Ice-Contact Lakes in the Patagonia Icefield over the Last 20 Years [Article]. Water (Switzerland), 17(3), Article 385. https://doi.org/10.3390/w17030385 </t>
  </si>
  <si>
    <t>Zhao et al., 2025</t>
  </si>
  <si>
    <t>https://www.mdpi.com/2073-4441/17/3/385</t>
  </si>
  <si>
    <t>double-check whether seasonal rates are also reported (MS only included annual), check trend methodology, and aggregation (mean?), and double-check the number of lakes included. MS: Added seasonal trends to follow MP. Also added annual mean as numbers given in paper.</t>
  </si>
  <si>
    <r>
      <t xml:space="preserve">MOD11A2, ASTER GDEM V2, Landsat-8 OLI, meteorological station data, and </t>
    </r>
    <r>
      <rPr>
        <i/>
        <sz val="11"/>
        <color rgb="FF000000"/>
        <rFont val="Aptos Narrow"/>
        <family val="2"/>
      </rPr>
      <t>in situ</t>
    </r>
    <r>
      <rPr>
        <sz val="11"/>
        <color rgb="FF000000"/>
        <rFont val="Aptos Narrow"/>
        <family val="2"/>
      </rPr>
      <t xml:space="preserve"> measurement data</t>
    </r>
  </si>
  <si>
    <r>
      <t xml:space="preserve">Zhao, Y., Yang, K., Luo, Y., &amp; Yu, Z. (2022). Spatial–temporal characteristics of surface thermal environment and its effect on Lake surface water temperature in Dianchi Lake basin. </t>
    </r>
    <r>
      <rPr>
        <i/>
        <sz val="11"/>
        <color rgb="FF000000"/>
        <rFont val="Aptos Narrow"/>
        <family val="2"/>
      </rPr>
      <t>Frontiers in Ecology and Evolution</t>
    </r>
    <r>
      <rPr>
        <sz val="11"/>
        <color rgb="FF000000"/>
        <rFont val="Aptos Narrow"/>
        <family val="2"/>
      </rPr>
      <t xml:space="preserve">, </t>
    </r>
    <r>
      <rPr>
        <i/>
        <sz val="11"/>
        <color rgb="FF000000"/>
        <rFont val="Aptos Narrow"/>
        <family val="2"/>
      </rPr>
      <t>10</t>
    </r>
    <r>
      <rPr>
        <sz val="11"/>
        <color rgb="FF000000"/>
        <rFont val="Aptos Narrow"/>
        <family val="2"/>
      </rPr>
      <t>. https://doi.org/10.3389/fevo.2022.984692</t>
    </r>
  </si>
  <si>
    <t>Zhao et al., 2022</t>
  </si>
  <si>
    <t>Frontiers in Ecology and Evolution</t>
  </si>
  <si>
    <t>https://www.frontiersin.org/journals/ecology-and-evolution/articles/10.3389/fevo.2022.984692/full</t>
  </si>
  <si>
    <t>Air2Water</t>
  </si>
  <si>
    <t>Mann-Kendall, Sen's slope</t>
  </si>
  <si>
    <t xml:space="preserve">Ptak, M., Sojka, M., Szyga-Pluta, K., Baloch, M. Y. J., &amp; Amnuaylojaroen, T. (2025). Is Everything Lost? Recreating the Surface Water Temperature of Unmonitored Lakes in Poland [Article]. Resources, 14(4), Article 67. https://doi.org/10.3390/resources14040067 </t>
  </si>
  <si>
    <t>Ptak et al. 2025</t>
  </si>
  <si>
    <t>MDPI Resources</t>
  </si>
  <si>
    <t>Is Everything Lost? Recreating the Surface Water Temperature of Unmonitored Lakes in Poland</t>
  </si>
  <si>
    <t>Finland</t>
  </si>
  <si>
    <t>GAM model</t>
  </si>
  <si>
    <r>
      <t>Noori, R., Woolway, R. I., Jun, C., Bateni, S. M., Naderian, D., Partani, S., ... &amp; Pulkkanen, M. (2023). Multi-decadal change in summer mean water temperature in Lake Konnevesi, Finland (1984–2021). </t>
    </r>
    <r>
      <rPr>
        <i/>
        <sz val="10"/>
        <color rgb="FF222222"/>
        <rFont val="Arial"/>
        <family val="2"/>
        <charset val="1"/>
      </rPr>
      <t>Ecological Informatics</t>
    </r>
    <r>
      <rPr>
        <sz val="10"/>
        <color rgb="FF222222"/>
        <rFont val="Arial"/>
        <family val="2"/>
        <charset val="1"/>
      </rPr>
      <t>, </t>
    </r>
    <r>
      <rPr>
        <i/>
        <sz val="10"/>
        <color rgb="FF222222"/>
        <rFont val="Arial"/>
        <family val="2"/>
        <charset val="1"/>
      </rPr>
      <t>78</t>
    </r>
    <r>
      <rPr>
        <sz val="10"/>
        <color rgb="FF222222"/>
        <rFont val="Arial"/>
        <family val="2"/>
        <charset val="1"/>
      </rPr>
      <t>, 102331.</t>
    </r>
  </si>
  <si>
    <t>Noori et al., 2023</t>
  </si>
  <si>
    <t>Ecological Information</t>
  </si>
  <si>
    <t>predictor variables = summer mean air temp, solar radiation, near-surface wind speed, ice departure date</t>
  </si>
  <si>
    <t>Multi-decadal change in summer mean water temperature in Lake Konnevesi, Finland (1984–2021) - ScienceDirect</t>
  </si>
  <si>
    <t>double-check if modelled AND in situ data were used for measuring water temp, double-check for annual_seasonal_data if data were just summer or open water (check definition in paper)</t>
  </si>
  <si>
    <t>Ngoring Lake, Tibetan Plateau</t>
  </si>
  <si>
    <t>CLM4-LISSS model</t>
  </si>
  <si>
    <r>
      <rPr>
        <sz val="10"/>
        <color rgb="FF222222"/>
        <rFont val="Arial"/>
        <family val="2"/>
      </rPr>
      <t>Wen, L., Wang, C., Li, Z., Zhao, L., Lyu, S., Leppäranta, M., ... &amp; Chen, S. (2022). Thermal responses of the largest freshwater lake in the Tibetan Plateau and its nearby saline lake to climate change. </t>
    </r>
    <r>
      <rPr>
        <i/>
        <sz val="10"/>
        <color rgb="FF222222"/>
        <rFont val="Arial"/>
        <family val="2"/>
      </rPr>
      <t>Remote Sensing</t>
    </r>
    <r>
      <rPr>
        <sz val="10"/>
        <color rgb="FF222222"/>
        <rFont val="Arial"/>
        <family val="2"/>
      </rPr>
      <t>, </t>
    </r>
    <r>
      <rPr>
        <i/>
        <sz val="10"/>
        <color rgb="FF222222"/>
        <rFont val="Arial"/>
        <family val="2"/>
      </rPr>
      <t>14</t>
    </r>
    <r>
      <rPr>
        <sz val="10"/>
        <color rgb="FF222222"/>
        <rFont val="Arial"/>
        <family val="2"/>
      </rPr>
      <t>(8), 1774.</t>
    </r>
  </si>
  <si>
    <t>Wen et al. 2022</t>
  </si>
  <si>
    <t>NOTE: this is on Maggie's original list but not in the all_literature_organized spreadsheet; trend methods were not directly stated</t>
  </si>
  <si>
    <t>c</t>
  </si>
  <si>
    <t>Hajiang Salt Pond, Tibetan Plateau</t>
  </si>
  <si>
    <t>AVHRR (Advanced Very High Resolution Radiometers) and ATSR (Along-Track Scanning Radiometer) instruments.</t>
  </si>
  <si>
    <t>linear regression analysis</t>
  </si>
  <si>
    <t>Schneider, P., &amp; Hook, S. J. (2010). Space observations of inland water bodies show rapid surface warming since 1985. Geophysical Research Letters, 37(22).</t>
  </si>
  <si>
    <t>Schneider &amp; Hook  2010</t>
  </si>
  <si>
    <t>https://agupubs.onlinelibrary.wiley.com/doi/full/10.1029/2009GL040846</t>
  </si>
  <si>
    <t>OR</t>
  </si>
  <si>
    <t>California and Nevada</t>
  </si>
  <si>
    <t xml:space="preserve">ATSR, MODIS </t>
  </si>
  <si>
    <t>Weighted Linear Regression Analysis for Mean Summer Nighttime Temperatures Between 1992 and 2008</t>
  </si>
  <si>
    <t xml:space="preserve"> </t>
  </si>
  <si>
    <t>seasonal (night)</t>
  </si>
  <si>
    <t>Schneider, P., Hook, S. J., Radocinski, R. G., Corlett, G. K., Hulley, G. C., Schladow, S. G., &amp; Steissberg, T. E. (2009). Satellite observations indicate rapid warming trend for lakes in California and Nevada. Geophysical Research Letters, 36(22).</t>
  </si>
  <si>
    <t>Schneider et al. 2009</t>
  </si>
  <si>
    <t>https://agupubs.onlinelibrary.wiley.com/doi/full/10.1029/2010GL045059</t>
  </si>
  <si>
    <t>MOD11A2 remote-sensing images</t>
  </si>
  <si>
    <t>Theil-Sen slope</t>
  </si>
  <si>
    <t>annual (excluding lakes that cooled)</t>
  </si>
  <si>
    <r>
      <t xml:space="preserve">Yang, K., Yu, Z., &amp; Luo, Y. (2020). Analysis on driving factors of lake surface water temperature for major lakes in Yunnan-Guizhou Plateau. </t>
    </r>
    <r>
      <rPr>
        <i/>
        <sz val="11"/>
        <color rgb="FF000000"/>
        <rFont val="Aptos Narrow"/>
        <family val="2"/>
      </rPr>
      <t>Water Research</t>
    </r>
    <r>
      <rPr>
        <sz val="11"/>
        <color rgb="FF000000"/>
        <rFont val="Aptos Narrow"/>
        <family val="2"/>
      </rPr>
      <t xml:space="preserve">, </t>
    </r>
    <r>
      <rPr>
        <i/>
        <sz val="11"/>
        <color rgb="FF000000"/>
        <rFont val="Aptos Narrow"/>
        <family val="2"/>
      </rPr>
      <t>184</t>
    </r>
    <r>
      <rPr>
        <sz val="11"/>
        <color rgb="FF000000"/>
        <rFont val="Aptos Narrow"/>
        <family val="2"/>
      </rPr>
      <t>, 116018.</t>
    </r>
  </si>
  <si>
    <t>Yang et al., 2020</t>
  </si>
  <si>
    <t>Water Research</t>
  </si>
  <si>
    <t>split into night and day temperatures, numbers are day</t>
  </si>
  <si>
    <t>https://www.sciencedirect.com/science/article/pii/S0043135420305558</t>
  </si>
  <si>
    <t>double-check why there are different rates reported here, double-check whether these are for day or night time estimates and check Matt's note that this excluded lakes that cooled, double-check the number of lakes included in this study (8 or 11)</t>
  </si>
  <si>
    <t>annual (all lakes)</t>
  </si>
  <si>
    <t>least-squares linear regression model</t>
  </si>
  <si>
    <r>
      <t>Yang, J., Yang, K., Zhang, Y., Luo, Y., &amp; Shang, C. (2022). Maximum lake surface water temperatures changing characteristics under climate change. </t>
    </r>
    <r>
      <rPr>
        <i/>
        <sz val="11"/>
        <rFont val="Aptos Narrow"/>
        <family val="2"/>
        <scheme val="minor"/>
      </rPr>
      <t>Environmental Science and Pollution Research</t>
    </r>
    <r>
      <rPr>
        <sz val="11"/>
        <rFont val="Aptos Narrow"/>
        <family val="2"/>
        <scheme val="minor"/>
      </rPr>
      <t>, </t>
    </r>
    <r>
      <rPr>
        <i/>
        <sz val="11"/>
        <rFont val="Aptos Narrow"/>
        <family val="2"/>
        <scheme val="minor"/>
      </rPr>
      <t>29</t>
    </r>
    <r>
      <rPr>
        <sz val="11"/>
        <rFont val="Aptos Narrow"/>
        <family val="2"/>
        <scheme val="minor"/>
      </rPr>
      <t>(2), 2547-2554.</t>
    </r>
  </si>
  <si>
    <t>MLSWT increased so more aglea blooms</t>
  </si>
  <si>
    <t>Theil-Sen slope and Mann-Kendall nonparametric test method</t>
  </si>
  <si>
    <t>Peng, Z., Yang, K., Shang, C., Duan, H., Tang, L., Zhang, Y., ... &amp; Luo, Y. (2022). Attribution analysis of lake surface water temperature changing—taking China’s six main lakes as example. Ecological Indicators, 145, 109651.</t>
  </si>
  <si>
    <t>Peng et al. 2022</t>
  </si>
  <si>
    <t>Ecological Indicators</t>
  </si>
  <si>
    <t>annual rates match but double check if seasonal rates should also be added</t>
  </si>
  <si>
    <t>please clarify which season the rate was calculated in (summer, spring, etc.) and add a method for trend calculations (if it's not listed, it's usually a linear regression)</t>
  </si>
  <si>
    <t>Air2water model combined with the Mann-Kendall mutation statistical method</t>
  </si>
  <si>
    <r>
      <t>Duan, H., Shang, C., Yang, K., &amp; Luo, Y. (2022). Dynamic response of surface water temperature in Urban Lakes under different climate scenarios—a case study in dianchi Lake, China. </t>
    </r>
    <r>
      <rPr>
        <i/>
        <sz val="11"/>
        <rFont val="Aptos Narrow"/>
        <family val="2"/>
        <scheme val="minor"/>
      </rPr>
      <t>International Journal of Environmental Research and Public Health</t>
    </r>
    <r>
      <rPr>
        <sz val="11"/>
        <rFont val="Aptos Narrow"/>
        <family val="2"/>
        <scheme val="minor"/>
      </rPr>
      <t>, </t>
    </r>
    <r>
      <rPr>
        <i/>
        <sz val="11"/>
        <rFont val="Aptos Narrow"/>
        <family val="2"/>
        <scheme val="minor"/>
      </rPr>
      <t>19</t>
    </r>
    <r>
      <rPr>
        <sz val="11"/>
        <rFont val="Aptos Narrow"/>
        <family val="2"/>
        <scheme val="minor"/>
      </rPr>
      <t>(19), 12142.</t>
    </r>
  </si>
  <si>
    <t>Duan et al. 2022</t>
  </si>
  <si>
    <t>predictions on future lake rate change</t>
  </si>
  <si>
    <t>double check LSWT methodology (I think they used MODIS to inform development of the Air2Water model which they then used from trends)</t>
  </si>
  <si>
    <t>Yunnan-Guizhou Plateau in China</t>
  </si>
  <si>
    <t>MODIS11A2</t>
  </si>
  <si>
    <r>
      <t>Duan, H., Yang, K., Shang, C., Zhou, X., &amp; Luo, Y. (2024). Anthropogenic impact of lake surface water temperature of lakes: A case study of eleven lakes on the yunnan-guizhou plateau. </t>
    </r>
    <r>
      <rPr>
        <i/>
        <sz val="11"/>
        <rFont val="Aptos Narrow"/>
        <family val="2"/>
        <scheme val="minor"/>
      </rPr>
      <t>Ecological Indicators</t>
    </r>
    <r>
      <rPr>
        <sz val="11"/>
        <rFont val="Aptos Narrow"/>
        <family val="2"/>
        <scheme val="minor"/>
      </rPr>
      <t>, </t>
    </r>
    <r>
      <rPr>
        <i/>
        <sz val="11"/>
        <rFont val="Aptos Narrow"/>
        <family val="2"/>
        <scheme val="minor"/>
      </rPr>
      <t>165</t>
    </r>
    <r>
      <rPr>
        <sz val="11"/>
        <rFont val="Aptos Narrow"/>
        <family val="2"/>
        <scheme val="minor"/>
      </rPr>
      <t>, 112165.</t>
    </r>
  </si>
  <si>
    <t>Duan et al. 2024</t>
  </si>
  <si>
    <t>https://www-sciencedirect-com.ezproxy.waikato.ac.nz/science/article/pii/S1470160X24006228</t>
  </si>
  <si>
    <t xml:space="preserve">CB: Method = Ollie put only MODIS, cand put MODIS and In-situ. method standard = Ollie put  satellite Cady put satellite and observed. </t>
  </si>
  <si>
    <t>MODIS, in-situ</t>
  </si>
  <si>
    <t>linear change rate</t>
  </si>
  <si>
    <t>Yu, Z., Yang, K., Luo, Y., Wang, P., &amp; Yang, Z. (2021). Research on the lake surface water temperature downscaling based on deep learning. IEEE Journal of Selected Topics in Applied Earth Observations and Remote Sensing, 14, 5550-5558.</t>
  </si>
  <si>
    <t>Yu et al. 2021</t>
  </si>
  <si>
    <t>https://www.scopus.com/inward/record.uri?eid=2-s2.0-85105879992&amp;doi=10.1109%2fJSTARS.2021.3079357&amp;partnerID=40&amp;md5=58dcd306c13ea7a86ecd9c98d695eaae</t>
  </si>
  <si>
    <t>MOD11A2, ε-SVR-AHP-BPANN combination forecasting model</t>
  </si>
  <si>
    <t>Yu et al. 2020</t>
  </si>
  <si>
    <t>https://www.scopus.com/inward/record.uri?eid=2-s2.0-85088496762&amp;doi=10.1016%2fj.jclepro.2020.122689&amp;partnerID=40&amp;md5=14bfbc9a11f447337bd336333e662980</t>
  </si>
  <si>
    <t>Lake Tana, Ethiopia</t>
  </si>
  <si>
    <t>MODIS Terra LSWT (MOD11A2.061)</t>
  </si>
  <si>
    <t>Sen’s slope estimator, and innovative trend analysis (ITA) </t>
  </si>
  <si>
    <t>Bayable, G., Cai, J., Mekonnen, M., Legesse, S. A., Ishikawa, K., Sato, S., &amp; Kuwahara, V. S. (2024). Spatiotemporal variability of lake surface water temperature and water quality parameters and its interrelationship with water hyacinth biomass in Lake Tana, Ethiopia. Environmental Science and Pollution Research, 31(33), 45929-45953.</t>
  </si>
  <si>
    <t>Bayable et al. 2024</t>
  </si>
  <si>
    <t>https://www.scopus.com/inward/record.uri?eid=2-s2.0-85197755921&amp;doi=10.1007%2fs11356-024-34212-x&amp;partnerID=40&amp;md5=f5d613c4e9dd74de59fdc00210d6f82a</t>
  </si>
  <si>
    <t>NOTE: I changed the LSWT method to 'satellite' because while they use in situ data to validate the sattelite data, only sattelite data are used in trend analysis</t>
  </si>
  <si>
    <t>dry season</t>
  </si>
  <si>
    <t>pre-rainy </t>
  </si>
  <si>
    <t>rainy </t>
  </si>
  <si>
    <t>post-rainy</t>
  </si>
  <si>
    <t>Zhao et al. 2022</t>
  </si>
  <si>
    <t>https://www.scopus.com/inward/record.uri?eid=2-s2.0-85141632269&amp;doi=10.3389%2ffevo.2022.984692&amp;partnerID=40&amp;md5=0adfaa30487294ecc19f7a7183eeeab8</t>
  </si>
  <si>
    <t>Lakes_cci, GLTC, FLake model</t>
  </si>
  <si>
    <t>Thiel-sen</t>
  </si>
  <si>
    <t>annual (ice; &lt;=1deg C excluded)</t>
  </si>
  <si>
    <t>Wang, X., Shi, K., Qin, B., Zhang, Y., &amp; Woolway, R. I. (2024). Disproportionate impact of atmospheric heat events on lake surface water temperature increases. Nature Climate Change, 14(11), 1172-1177.</t>
  </si>
  <si>
    <t>Wang et al. 2024</t>
  </si>
  <si>
    <t>Nature Climate Change</t>
  </si>
  <si>
    <t>https://www.scopus.com/inward/record.uri?eid=2-s2.0-85204236793&amp;doi=10.1038%2fs41558-024-02122-y&amp;partnerID=40&amp;md5=c61b5cf6fbdbf32e3518817d096dfc2c</t>
  </si>
  <si>
    <t>double-check the trend methodology, and should this be annual and summer for OR's annual_seasonal_data second entry? also double-check that ice-covered period is excluded</t>
  </si>
  <si>
    <t>seasonal (ice; &lt;=1deg C excluded)</t>
  </si>
  <si>
    <t>Wang et al. 2024b</t>
  </si>
  <si>
    <t>Lake Qiandaohu, China</t>
  </si>
  <si>
    <t>Landsat 5, 7 and 8 collection 1 Level 1 Tier 1</t>
  </si>
  <si>
    <t>Sen’s slope</t>
  </si>
  <si>
    <t>Li, Y., Shi, K., Zhang, Y., Zhu, G., Guo, Y., Li, H., &amp; Du, C. (2022). Warming lake surface water temperatures in Lake Qiandaohu, China: Spatiotemporal variations, influencing factors and implications for the thermal structure. Frontiers in Environmental Science, 10, 995862.</t>
  </si>
  <si>
    <t>Li et al. 2022</t>
  </si>
  <si>
    <t>https://www.scopus.com/inward/record.uri?eid=2-s2.0-85138079657&amp;doi=10.3389%2ffenvs.2022.995862&amp;partnerID=40&amp;md5=bac11ecce5be3f0f8c9147d799930bd1</t>
  </si>
  <si>
    <t>double-check if satellite and insitu data were used for measuring water temp</t>
  </si>
  <si>
    <t>MODIS </t>
  </si>
  <si>
    <t>linear regression, Mann-Kendall </t>
  </si>
  <si>
    <r>
      <t>Yang, K., Zhang, Y., Luo, Y., &amp; Shang, C. (2021). Precipitation events impact on urban lake surface water temperature under the perspective of macroscopic scale. </t>
    </r>
    <r>
      <rPr>
        <i/>
        <sz val="11"/>
        <rFont val="Aptos Narrow"/>
        <family val="2"/>
        <scheme val="minor"/>
      </rPr>
      <t>Environmental Science and Pollution Research</t>
    </r>
    <r>
      <rPr>
        <sz val="11"/>
        <rFont val="Aptos Narrow"/>
        <family val="2"/>
        <scheme val="minor"/>
      </rPr>
      <t>, </t>
    </r>
    <r>
      <rPr>
        <i/>
        <sz val="11"/>
        <rFont val="Aptos Narrow"/>
        <family val="2"/>
        <scheme val="minor"/>
      </rPr>
      <t>28</t>
    </r>
    <r>
      <rPr>
        <sz val="11"/>
        <rFont val="Aptos Narrow"/>
        <family val="2"/>
        <scheme val="minor"/>
      </rPr>
      <t>, 16767-16780.</t>
    </r>
  </si>
  <si>
    <t>Yang et al. 2021</t>
  </si>
  <si>
    <t>double-check why different rates are reported, double-check whether these are day or night time estimates, and check if the Mann-Kendall method is stated in the manuscript</t>
  </si>
  <si>
    <r>
      <t>Czernecki, B., &amp; Ptak, M. (2018). The impact of global warming on lake surface water temperature in Poland-the application of empirical-statistical downscaling, 1971-2100. </t>
    </r>
    <r>
      <rPr>
        <i/>
        <sz val="11"/>
        <rFont val="Aptos Narrow"/>
        <family val="2"/>
        <scheme val="minor"/>
      </rPr>
      <t>Journal of Limnology</t>
    </r>
    <r>
      <rPr>
        <sz val="11"/>
        <rFont val="Aptos Narrow"/>
        <family val="2"/>
        <scheme val="minor"/>
      </rPr>
      <t>, </t>
    </r>
    <r>
      <rPr>
        <i/>
        <sz val="11"/>
        <rFont val="Aptos Narrow"/>
        <family val="2"/>
        <scheme val="minor"/>
      </rPr>
      <t>77</t>
    </r>
    <r>
      <rPr>
        <sz val="11"/>
        <rFont val="Aptos Narrow"/>
        <family val="2"/>
        <scheme val="minor"/>
      </rPr>
      <t>(2).</t>
    </r>
  </si>
  <si>
    <t>Czernecki &amp; Ptak 2018</t>
  </si>
  <si>
    <t>polynomial regression</t>
  </si>
  <si>
    <r>
      <rPr>
        <sz val="11"/>
        <color rgb="FF000000"/>
        <rFont val="Aptos Narrow"/>
        <family val="2"/>
        <scheme val="minor"/>
      </rPr>
      <t>Luo, Y., Zhang, Y., Yang, K., Yu, Z., &amp; Zhu, Y. (2019). Spatiotemporal variations in Dianchi lake’s surface water temperature from 2001 to 2017 under the influence of climate warming. </t>
    </r>
    <r>
      <rPr>
        <i/>
        <sz val="11"/>
        <color rgb="FF000000"/>
        <rFont val="Aptos Narrow"/>
        <family val="2"/>
        <scheme val="minor"/>
      </rPr>
      <t>Ieee Access</t>
    </r>
    <r>
      <rPr>
        <sz val="11"/>
        <color rgb="FF000000"/>
        <rFont val="Aptos Narrow"/>
        <family val="2"/>
        <scheme val="minor"/>
      </rPr>
      <t>, </t>
    </r>
    <r>
      <rPr>
        <i/>
        <sz val="11"/>
        <color rgb="FF000000"/>
        <rFont val="Aptos Narrow"/>
        <family val="2"/>
        <scheme val="minor"/>
      </rPr>
      <t>7</t>
    </r>
    <r>
      <rPr>
        <sz val="11"/>
        <color rgb="FF000000"/>
        <rFont val="Aptos Narrow"/>
        <family val="2"/>
        <scheme val="minor"/>
      </rPr>
      <t>, 115378-115387.</t>
    </r>
  </si>
  <si>
    <t>Luo et al. 2019</t>
  </si>
  <si>
    <t>Ieee Access</t>
  </si>
  <si>
    <t>double-check the trend methodology (see comment between OR and WW), and double-check that night rates are appropriately labelled/distinguished from day rates</t>
  </si>
  <si>
    <r>
      <t>Luo, Y., Zhang, Y., Yang, K., Yu, Z., &amp; Zhu, Y. (2019). Spatiotemporal variations in Dianchi lake’s surface water temperature from 2001 to 2017 under the influence of climate warming. </t>
    </r>
    <r>
      <rPr>
        <i/>
        <sz val="11"/>
        <rFont val="Aptos Narrow"/>
        <family val="2"/>
        <scheme val="minor"/>
      </rPr>
      <t>Ieee Access</t>
    </r>
    <r>
      <rPr>
        <sz val="11"/>
        <rFont val="Aptos Narrow"/>
        <family val="2"/>
        <scheme val="minor"/>
      </rPr>
      <t>, </t>
    </r>
    <r>
      <rPr>
        <i/>
        <sz val="11"/>
        <rFont val="Aptos Narrow"/>
        <family val="2"/>
        <scheme val="minor"/>
      </rPr>
      <t>7</t>
    </r>
    <r>
      <rPr>
        <sz val="11"/>
        <rFont val="Aptos Narrow"/>
        <family val="2"/>
        <scheme val="minor"/>
      </rPr>
      <t>, 115378-115387.</t>
    </r>
  </si>
  <si>
    <t>global but mostly US</t>
  </si>
  <si>
    <t>MOD11L1</t>
  </si>
  <si>
    <t>Linear trend, Mann-Kendal</t>
  </si>
  <si>
    <r>
      <t>Sobrino, J. A., García-Monteiro, S., &amp; Julien, Y. (2024). An analysis of the Lake Surface Water Temperature evolution of the world’s largest lakes during the years 2003-2020 using MODIS data. </t>
    </r>
    <r>
      <rPr>
        <i/>
        <sz val="11"/>
        <rFont val="Aptos Narrow"/>
        <family val="2"/>
        <scheme val="minor"/>
      </rPr>
      <t>Recent Adv. Remote Sens</t>
    </r>
    <r>
      <rPr>
        <sz val="11"/>
        <rFont val="Aptos Narrow"/>
        <family val="2"/>
        <scheme val="minor"/>
      </rPr>
      <t>, </t>
    </r>
    <r>
      <rPr>
        <i/>
        <sz val="11"/>
        <rFont val="Aptos Narrow"/>
        <family val="2"/>
        <scheme val="minor"/>
      </rPr>
      <t>1</t>
    </r>
    <r>
      <rPr>
        <sz val="11"/>
        <rFont val="Aptos Narrow"/>
        <family val="2"/>
        <scheme val="minor"/>
      </rPr>
      <t>, 1-9.</t>
    </r>
  </si>
  <si>
    <t>Sobrino et al. 2024</t>
  </si>
  <si>
    <t>show trends for each of the 10 lakes individual</t>
  </si>
  <si>
    <t>MOD11L2</t>
  </si>
  <si>
    <t>Sen’s slope, Mann-Kendal</t>
  </si>
  <si>
    <t>Linear trend</t>
  </si>
  <si>
    <r>
      <t>Woolway, R. I., Weyhenmeyer, G. A., Schmid, M., Dokulil, M. T., de Eyto, E., Maberly, S. C., ... &amp; Merchant, C. J. (2019). Substantial increase in minimum lake surface temperatures under climate change. </t>
    </r>
    <r>
      <rPr>
        <i/>
        <sz val="11"/>
        <rFont val="Aptos Narrow"/>
        <family val="2"/>
        <scheme val="minor"/>
      </rPr>
      <t>Climatic Change</t>
    </r>
    <r>
      <rPr>
        <sz val="11"/>
        <rFont val="Aptos Narrow"/>
        <family val="2"/>
        <scheme val="minor"/>
      </rPr>
      <t>, </t>
    </r>
    <r>
      <rPr>
        <i/>
        <sz val="11"/>
        <rFont val="Aptos Narrow"/>
        <family val="2"/>
        <scheme val="minor"/>
      </rPr>
      <t>155</t>
    </r>
    <r>
      <rPr>
        <sz val="11"/>
        <rFont val="Aptos Narrow"/>
        <family val="2"/>
        <scheme val="minor"/>
      </rPr>
      <t>, 81-94.</t>
    </r>
  </si>
  <si>
    <t>Lake Titicaca</t>
  </si>
  <si>
    <t>Theil-Sens slope</t>
  </si>
  <si>
    <r>
      <t>Aguilar-Lome, J., Soca-Flores, R., &amp; Gómez, D. (2021). Evaluation of the Lake Titicaca's surface water temperature using LST MODIS time series (2000–2020). </t>
    </r>
    <r>
      <rPr>
        <i/>
        <sz val="10"/>
        <color rgb="FF222222"/>
        <rFont val="Arial"/>
        <family val="2"/>
        <charset val="1"/>
      </rPr>
      <t>Journal of South American Earth Sciences</t>
    </r>
    <r>
      <rPr>
        <sz val="10"/>
        <color rgb="FF222222"/>
        <rFont val="Arial"/>
        <family val="2"/>
        <charset val="1"/>
      </rPr>
      <t>, </t>
    </r>
    <r>
      <rPr>
        <i/>
        <sz val="10"/>
        <color rgb="FF222222"/>
        <rFont val="Arial"/>
        <family val="2"/>
        <charset val="1"/>
      </rPr>
      <t>112</t>
    </r>
    <r>
      <rPr>
        <sz val="10"/>
        <color rgb="FF222222"/>
        <rFont val="Arial"/>
        <family val="2"/>
        <charset val="1"/>
      </rPr>
      <t>, 103609.</t>
    </r>
  </si>
  <si>
    <t>Aguilar-Lome et al., 2021</t>
  </si>
  <si>
    <t>Journal of South American Earth Sciences</t>
  </si>
  <si>
    <t>Lake Titicaca - Major Lake</t>
  </si>
  <si>
    <t>Evaluation of the Lake Titicaca's surface water temperature using LST MODIS time series (2000–2020) - ScienceDirect</t>
  </si>
  <si>
    <r>
      <rPr>
        <sz val="10"/>
        <color rgb="FF222222"/>
        <rFont val="Arial"/>
        <family val="2"/>
      </rPr>
      <t>Aguilar-Lome, J., Soca-Flores, R., &amp; Gómez, D. (2021). Evaluation of the Lake Titicaca's surface water temperature using LST MODIS time series (2000–2020). </t>
    </r>
    <r>
      <rPr>
        <i/>
        <sz val="10"/>
        <color rgb="FF222222"/>
        <rFont val="Arial"/>
        <family val="2"/>
      </rPr>
      <t>Journal of South American Earth Sciences</t>
    </r>
    <r>
      <rPr>
        <sz val="10"/>
        <color rgb="FF222222"/>
        <rFont val="Arial"/>
        <family val="2"/>
      </rPr>
      <t>, </t>
    </r>
    <r>
      <rPr>
        <i/>
        <sz val="10"/>
        <color rgb="FF222222"/>
        <rFont val="Arial"/>
        <family val="2"/>
      </rPr>
      <t>112</t>
    </r>
    <r>
      <rPr>
        <sz val="10"/>
        <color rgb="FF222222"/>
        <rFont val="Arial"/>
        <family val="2"/>
      </rPr>
      <t>, 103609.</t>
    </r>
  </si>
  <si>
    <t>Lake Titicaca - Minor Lake</t>
  </si>
  <si>
    <t>United States</t>
  </si>
  <si>
    <t>Landsat</t>
  </si>
  <si>
    <t>indicator variable regression model</t>
  </si>
  <si>
    <t>median</t>
  </si>
  <si>
    <t>summer (July - August)</t>
  </si>
  <si>
    <r>
      <t>Herrick, C., Steele, B. G., Brentrup, J. A., Cottingham, K. L., Ducey, M. J., Lutz, D. A., ... &amp; Weathers, K. C. (2023). lakeCoSTR: A tool to facilitate use of Landsat Collection 2 to estimate lake surface water temperatures. </t>
    </r>
    <r>
      <rPr>
        <i/>
        <sz val="10"/>
        <color rgb="FF222222"/>
        <rFont val="Arial"/>
        <family val="2"/>
        <charset val="1"/>
      </rPr>
      <t>Ecosphere</t>
    </r>
    <r>
      <rPr>
        <sz val="10"/>
        <color rgb="FF222222"/>
        <rFont val="Arial"/>
        <family val="2"/>
        <charset val="1"/>
      </rPr>
      <t>, </t>
    </r>
    <r>
      <rPr>
        <i/>
        <sz val="10"/>
        <color rgb="FF222222"/>
        <rFont val="Arial"/>
        <family val="2"/>
        <charset val="1"/>
      </rPr>
      <t>14</t>
    </r>
    <r>
      <rPr>
        <sz val="10"/>
        <color rgb="FF222222"/>
        <rFont val="Arial"/>
        <family val="2"/>
        <charset val="1"/>
      </rPr>
      <t>(1), e4357.</t>
    </r>
  </si>
  <si>
    <t>Herrick et al., 2022</t>
  </si>
  <si>
    <t>Ecosphere</t>
  </si>
  <si>
    <t>Reports of average summer surface water temperature trends (typically averaged across July through September) across lakes globally range between 0.02 and 0.34C year1 for both in situ and remote sensing data (e.g., Carrea et al., 2020; Mason et al., 2016; O’Reilly et al., 2015; Pareeth et al., 2017; Piccolroaz et al., 2020; Schneider et al., 2009; Schneider &amp; Hook, 2010)</t>
  </si>
  <si>
    <t>lakeCoSTR: A tool to facilitate use of Landsat Collection 2 to estimate lake surface water temperatures</t>
  </si>
  <si>
    <t>double-check the rate (for the summer rate, I avg'ed the July August and September (Landsat) values from table 1), trend methodology, and temporal aggregation (in the Case Study Methods, they specify they used the median)</t>
  </si>
  <si>
    <r>
      <rPr>
        <sz val="11"/>
        <color rgb="FF222222"/>
        <rFont val="Aptos Narrow"/>
        <scheme val="minor"/>
      </rPr>
      <t>Olowoyeye, T., Ptak, M., &amp; Sojka, M. (2023). How Do Extreme Lake Water Temperatures in Poland Respond to Climate Change? </t>
    </r>
    <r>
      <rPr>
        <i/>
        <sz val="11"/>
        <color rgb="FF222222"/>
        <rFont val="Aptos Narrow"/>
        <scheme val="minor"/>
      </rPr>
      <t>Resources</t>
    </r>
    <r>
      <rPr>
        <sz val="11"/>
        <color rgb="FF222222"/>
        <rFont val="Aptos Narrow"/>
        <scheme val="minor"/>
      </rPr>
      <t>, </t>
    </r>
    <r>
      <rPr>
        <i/>
        <sz val="11"/>
        <color rgb="FF222222"/>
        <rFont val="Aptos Narrow"/>
        <scheme val="minor"/>
      </rPr>
      <t>12</t>
    </r>
    <r>
      <rPr>
        <sz val="11"/>
        <color rgb="FF222222"/>
        <rFont val="Aptos Narrow"/>
        <scheme val="minor"/>
      </rPr>
      <t>(9), 107. https://doi.org/10.3390/resources12090107</t>
    </r>
  </si>
  <si>
    <t>Olowoyeye et al., 2023</t>
  </si>
  <si>
    <t>Resources</t>
  </si>
  <si>
    <t>study reported monthly and annual values - seasonal was self-calculated</t>
  </si>
  <si>
    <t>How Do Extreme Lake Water Temperatures in Poland Respond to Climate Change?</t>
  </si>
  <si>
    <t>observational data (0.4 m below surface)</t>
  </si>
  <si>
    <t>Czernecki, B., &amp; Ptak, M. (2018). The impact of global warming on lake surface water temperature in Poland-the application of empirical-statistical downscaling, 1971-2100. Journal of Limnology, 77(2).</t>
  </si>
  <si>
    <t>Czernecki et al., 2018</t>
  </si>
  <si>
    <t>Satellite (calibrated to profiler)</t>
  </si>
  <si>
    <t>Satellite (calibrated to in situ)</t>
  </si>
  <si>
    <t>Demosnstrates relationship by latuitude (fig 11)</t>
  </si>
  <si>
    <r>
      <t>Luo, Y., Zhang, Y., Yang, K., Yu, Z., &amp; Zhu, Y. (2019). Spatiotemporal variations in Dianchi lake’s surface water temperature from 2001 to 2017 under the influence of climate warming. </t>
    </r>
    <r>
      <rPr>
        <i/>
        <sz val="11"/>
        <color rgb="FF000000"/>
        <rFont val="Aptos Narrow"/>
        <family val="2"/>
      </rPr>
      <t>Ieee Access</t>
    </r>
    <r>
      <rPr>
        <sz val="11"/>
        <color rgb="FF000000"/>
        <rFont val="Aptos Narrow"/>
        <family val="2"/>
      </rPr>
      <t>, </t>
    </r>
    <r>
      <rPr>
        <i/>
        <sz val="11"/>
        <color rgb="FF000000"/>
        <rFont val="Aptos Narrow"/>
        <family val="2"/>
      </rPr>
      <t>7</t>
    </r>
    <r>
      <rPr>
        <sz val="11"/>
        <color rgb="FF000000"/>
        <rFont val="Aptos Narrow"/>
        <family val="2"/>
      </rPr>
      <t>, 115378-115387.</t>
    </r>
  </si>
  <si>
    <t>Piburger See</t>
  </si>
  <si>
    <t>Observational (thermister chain)</t>
  </si>
  <si>
    <t>Regression slope</t>
  </si>
  <si>
    <t>Twelve-month moving average of monthly mean water temperatures</t>
  </si>
  <si>
    <t>Niedrist, G. H., Psenner, R., &amp; Sommaruga, R. (2018). Climate warming increases vertical and seasonal water temperature differences and inter-annual variability in a mountain lake. Climatic Change, 151(3), 473-490.</t>
  </si>
  <si>
    <t>Niedrist et al. 2018</t>
  </si>
  <si>
    <t xml:space="preserve">NOTE TO WHITNEY : "We resolved each time series into long-term trends (using a 12-month moving average), the annual cycle, and random (non-cyclic) variation using a classical seasonal decomposition of the time series" unsure of this? </t>
  </si>
  <si>
    <t>Lake Dianchi</t>
  </si>
  <si>
    <t>MODIS (error corrected to observed)</t>
  </si>
  <si>
    <t>not stated</t>
  </si>
  <si>
    <t>Peng, J., Chen, J., Liu, S., Liu, T., Deng, F., Fan, Y., &amp; De Maeyer, P. (2024). Dynamics of the risk of algal blooms induced by surface water temperature in an alpine eutrophic lake under climate warming: Insights from Lake Dianchi. Journal of Hydrology, 643, 131949.</t>
  </si>
  <si>
    <t>Peng et al 2024</t>
  </si>
  <si>
    <t>Journal of Hydrology</t>
  </si>
  <si>
    <t>in situ sensor (at 2m)</t>
  </si>
  <si>
    <r>
      <t>Pilla, R. M., Williamson, C. E., Zhang, J., Smyth, R. L., Lenters, J. D., Brentrup, J. A., ... &amp; Fisher, T. J. (2018). Browning‐related decreases in water transparency lead to long‐term increases in surface water temperature and thermal stratification in two small lakes. </t>
    </r>
    <r>
      <rPr>
        <i/>
        <sz val="11"/>
        <color rgb="FF222222"/>
        <rFont val="Aptos Narrow"/>
        <family val="2"/>
      </rPr>
      <t>Journal of Geophysical Research: Biogeosciences</t>
    </r>
    <r>
      <rPr>
        <sz val="11"/>
        <color rgb="FF222222"/>
        <rFont val="Aptos Narrow"/>
        <family val="2"/>
      </rPr>
      <t>, </t>
    </r>
    <r>
      <rPr>
        <i/>
        <sz val="11"/>
        <color rgb="FF222222"/>
        <rFont val="Aptos Narrow"/>
        <family val="2"/>
      </rPr>
      <t>123</t>
    </r>
    <r>
      <rPr>
        <sz val="11"/>
        <color rgb="FF222222"/>
        <rFont val="Aptos Narrow"/>
        <family val="2"/>
      </rPr>
      <t>(5), 1651-1665.</t>
    </r>
  </si>
  <si>
    <t>linear interpolation</t>
  </si>
  <si>
    <t>MOD11A1 and MYD11A1</t>
  </si>
  <si>
    <r>
      <t>Song, S., Yang, J., Liu, L., Bai, G., Zhou, J., &amp; McKay, D. (2024). Lake surface water temperature in China from 2001 to 2021 based on GEE and HANTS. </t>
    </r>
    <r>
      <rPr>
        <i/>
        <sz val="11"/>
        <color rgb="FF222222"/>
        <rFont val="Aptos Narrow"/>
        <family val="2"/>
      </rPr>
      <t>Ecological Informatics</t>
    </r>
    <r>
      <rPr>
        <sz val="11"/>
        <color rgb="FF222222"/>
        <rFont val="Aptos Narrow"/>
        <family val="2"/>
      </rPr>
      <t>, </t>
    </r>
    <r>
      <rPr>
        <i/>
        <sz val="11"/>
        <color rgb="FF222222"/>
        <rFont val="Aptos Narrow"/>
        <family val="2"/>
      </rPr>
      <t>84</t>
    </r>
    <r>
      <rPr>
        <sz val="11"/>
        <color rgb="FF222222"/>
        <rFont val="Aptos Narrow"/>
        <family val="2"/>
      </rPr>
      <t>, 102903.</t>
    </r>
  </si>
  <si>
    <t>modelled (FLake), calibrated by landsat</t>
  </si>
  <si>
    <r>
      <t>Tong, Y., Feng, L., Wang, X., Pi, X., Xu, W., &amp; Woolway, R. I. (2023). Global lakes are warming slower than surface air temperature due to accelerated evaporation. </t>
    </r>
    <r>
      <rPr>
        <i/>
        <sz val="11"/>
        <color rgb="FF222222"/>
        <rFont val="Aptos Narrow"/>
        <family val="2"/>
      </rPr>
      <t>Nature Water</t>
    </r>
    <r>
      <rPr>
        <sz val="11"/>
        <color rgb="FF222222"/>
        <rFont val="Aptos Narrow"/>
        <family val="2"/>
      </rPr>
      <t>, </t>
    </r>
    <r>
      <rPr>
        <i/>
        <sz val="11"/>
        <color rgb="FF222222"/>
        <rFont val="Aptos Narrow"/>
        <family val="2"/>
      </rPr>
      <t>1</t>
    </r>
    <r>
      <rPr>
        <sz val="11"/>
        <color rgb="FF222222"/>
        <rFont val="Aptos Narrow"/>
        <family val="2"/>
      </rPr>
      <t>(11), 929-940.</t>
    </r>
  </si>
  <si>
    <t>With the vast majority of the lakes (70%, with 28% of which are significant) showing warming (0.076 °C/year) and the rest (30%, with 37% of which are significant) showing cooling (_x0001_0.053 °C/year). This astonishing contrast was controlled by different water sources recharging these lakes: (1) warming LSWT due to increased precipitation (central and northern TP) or permafrost degradation (northwestern TP) and (2) cooling LSWT due to increased glacier meltwater (southwestern TP), revealing LSWT a sensitive indicator to climate change that triggered different regional responses in precipitation, permafrost, and glacier changes over the TP.</t>
  </si>
  <si>
    <t>linear trend model</t>
  </si>
  <si>
    <r>
      <t>Woolway, R. I., Weyhenmeyer, G. A., Schmid, M., Dokulil, M. T., de Eyto, E., Maberly, S. C., ... &amp; Merchant, C. J. (2019). Substantial increase in minimum lake surface temperatures under climate change. </t>
    </r>
    <r>
      <rPr>
        <i/>
        <sz val="11"/>
        <rFont val="Aptos Narrow"/>
        <family val="2"/>
      </rPr>
      <t>Climatic Change</t>
    </r>
    <r>
      <rPr>
        <sz val="11"/>
        <rFont val="Aptos Narrow"/>
        <family val="2"/>
      </rPr>
      <t>, </t>
    </r>
    <r>
      <rPr>
        <i/>
        <sz val="11"/>
        <rFont val="Aptos Narrow"/>
        <family val="2"/>
      </rPr>
      <t>155</t>
    </r>
    <r>
      <rPr>
        <sz val="11"/>
        <rFont val="Aptos Narrow"/>
        <family val="2"/>
      </rPr>
      <t>, 81-94.</t>
    </r>
  </si>
  <si>
    <t>Yang, K., Yu, Z., Luo, Y., Zhou, X., &amp; Shang, C. (2019). Spatial‐temporal variation of lake surface water temperature and its driving factors in Yunnan‐Guizhou Plateau. Water Resources Research, 55(6), 4688-4703.</t>
  </si>
  <si>
    <t>Yang et al., 2019</t>
  </si>
  <si>
    <t>MS: chapter 3.2 'Univariate linear regression is used for trend analysis...'</t>
  </si>
  <si>
    <t>Yang, K., Zhang, Y., Luo, Y., &amp; Shang, C. (2021). Precipitation events impact on urban lake surface water temperature under the perspective of macroscopic scale. Environmental Science and Pollution Research, 28, 16767-16780.</t>
  </si>
  <si>
    <t>Yunnan Province, China</t>
  </si>
  <si>
    <t>ubESTARFM data fusion</t>
  </si>
  <si>
    <t>Theil-Sen, Mann-Kendall</t>
  </si>
  <si>
    <t xml:space="preserve">Li, D., Luo, Y., Yang, K., Shang, C., Zhu, S., Peng, S., Li, A., Chen, R., Peng, Z., Pei, X., Yin, Y., Wang, Q., Peng, C., &amp; Wei, H. (2024). Effects of Climate Change and Urbanization on Spatiotemporal Variations of Lake Surface Water Temperature [Article]. IEEE Journal of Selected Topics in Applied Earth Observations and Remote Sensing, 17, 19955-19971. https://doi.org/10.1109/JSTARS.2024.3487623 </t>
  </si>
  <si>
    <t>Li et al 2024</t>
  </si>
  <si>
    <t>Theil-Sen</t>
  </si>
  <si>
    <t>annual (assumed)</t>
  </si>
  <si>
    <t xml:space="preserve">Wang, W., Shi, K., Wang, X., Zhang, Y., Qin, B., Zhang, Y., &amp; Woolway, R. I. (2024). The impact of extreme heat on lake warming in China [Article]. Nature Communications, 15(1), Article 70. https://doi.org/10.1038/s41467-023-44404-7 </t>
  </si>
  <si>
    <t xml:space="preserve">for aggregation_mean_min_max, temporal aggregation, annual_seasonal_data, I don't think these methods were stated as you said as well. can we agree to put assumed values for them? </t>
  </si>
  <si>
    <t>Random Forest</t>
  </si>
  <si>
    <t>Linear regression</t>
  </si>
  <si>
    <r>
      <t>Duan, Z., Gao, W., Cheng, G., Zhang, Y., &amp; Chang, X. (2024). Warming surface and Lake heatwaves as key drivers to harmful algal Blooms: A case study of Lake Dianchi, China. </t>
    </r>
    <r>
      <rPr>
        <i/>
        <sz val="11"/>
        <color rgb="FF222222"/>
        <rFont val="Arial"/>
        <family val="2"/>
        <charset val="1"/>
      </rPr>
      <t>Journal of Hydrology</t>
    </r>
    <r>
      <rPr>
        <sz val="11"/>
        <color rgb="FF222222"/>
        <rFont val="Arial"/>
        <family val="2"/>
        <charset val="1"/>
      </rPr>
      <t>, </t>
    </r>
    <r>
      <rPr>
        <i/>
        <sz val="11"/>
        <color rgb="FF222222"/>
        <rFont val="Arial"/>
        <family val="2"/>
        <charset val="1"/>
      </rPr>
      <t>632</t>
    </r>
    <r>
      <rPr>
        <sz val="11"/>
        <color rgb="FF222222"/>
        <rFont val="Arial"/>
        <family val="2"/>
        <charset val="1"/>
      </rPr>
      <t>, 130971.</t>
    </r>
  </si>
  <si>
    <t>can you clarify how they used a random forest to generate LSWT values? Also clarify the method_LSWT_standard (modelled or satellite), and the method_trend. Buddhika, can you add what you think is the aggregation_mean_min_max_etc?</t>
  </si>
  <si>
    <t>Air2water</t>
  </si>
  <si>
    <t xml:space="preserve">Gan, F., Gao, Y., &amp; Wei, Z. (2025). Changes in the summer seasonal cycle of lakes in the Inner Tibetan Plateau since the 21st century [Article]. Climatic Change, 178(4), Article 70. https://doi.org/10.1007/s10584-025-03911-w </t>
  </si>
  <si>
    <t>Gan et al. 2025</t>
  </si>
  <si>
    <t>Lake Inari</t>
  </si>
  <si>
    <t>Machine Learning</t>
  </si>
  <si>
    <t>Annual (exluding ice period; Nov-Jun)</t>
  </si>
  <si>
    <t>Kim et al., 2024</t>
  </si>
  <si>
    <t>Brazil</t>
  </si>
  <si>
    <t>Sens slope</t>
  </si>
  <si>
    <t>Annual</t>
  </si>
  <si>
    <t xml:space="preserve">Tavares, M. H., Cardoso, M. A., Motta Marques, D., Bonnet, M. P., &amp; Fragoso, C. R. (2024). High Spring Warming Rates in an Extensive Subtropical Shallow Lakes System Detected Using MODIS Imagery [Article]. ACS ES and T Water, 4(4), 1518-1530. https://doi.org/10.1021/acsestwater.3c00622 </t>
  </si>
  <si>
    <t>Tavares et al. 2024</t>
  </si>
  <si>
    <t>ACS ES and T Water</t>
  </si>
  <si>
    <t>Seasonal</t>
  </si>
  <si>
    <t>MODIS-derived</t>
  </si>
  <si>
    <t>Sen's approach</t>
  </si>
  <si>
    <t>Sen's</t>
  </si>
  <si>
    <t>Dongting Lake</t>
  </si>
  <si>
    <t>Landsat 5</t>
  </si>
  <si>
    <t>least squares linear regression</t>
  </si>
  <si>
    <t xml:space="preserve">Wang, Y., Tao, J., Zhao, L., Qin, S., Xiao, H., Wang, Y., Sheng, D., &amp; Zhang, Y. (2024). Investigating long-term changes in surface water temperature of Dongting Lake using Landsat imagery, China [Article]. Environmental Science and Pollution Research, 31(28), 41167-41181. https://doi.org/10.1007/s11356-024-33878-7 </t>
  </si>
  <si>
    <t>Wang et al. 2024a</t>
  </si>
  <si>
    <t>Seasonal (summer; Jul-Sep)</t>
  </si>
  <si>
    <t xml:space="preserve">Wu, Y., Ji, F., Wang, S., He, Y., &amp; Hu, S. (2024). Increased Warming Efficiencies of Lake Heatwaves Enhance Dryland Lake Warming over China [Article]. Remote Sensing, 16(3), Article 588. https://doi.org/10.3390/rs16030588 </t>
  </si>
  <si>
    <t>Wu et al. 2024</t>
  </si>
  <si>
    <t>China - Arid lakes</t>
  </si>
  <si>
    <t>China - Semi arid lakes</t>
  </si>
  <si>
    <t>China - Semi humid lakes</t>
  </si>
  <si>
    <t>China - Humid lakes</t>
  </si>
  <si>
    <t>Patagonia Icefield</t>
  </si>
  <si>
    <t>Zhao et al. 2025</t>
  </si>
  <si>
    <t>Lake Kasumigaura</t>
  </si>
  <si>
    <t>seasonal (monthly reported, seasonal calculated)</t>
  </si>
  <si>
    <r>
      <rPr>
        <sz val="10"/>
        <color rgb="FF222222"/>
        <rFont val="Arial"/>
      </rPr>
      <t>Shinohara, R., Tanaka, Y., Kanno, A., &amp; Matsushige, K. (2021). Relative impacts of increases of solar radiation and air temperature on the temperature of surface water in a shallow, eutrophic lake. </t>
    </r>
    <r>
      <rPr>
        <i/>
        <sz val="10"/>
        <color rgb="FF222222"/>
        <rFont val="Arial"/>
      </rPr>
      <t>Hydrology Research</t>
    </r>
    <r>
      <rPr>
        <sz val="10"/>
        <color rgb="FF222222"/>
        <rFont val="Arial"/>
      </rPr>
      <t>, </t>
    </r>
    <r>
      <rPr>
        <i/>
        <sz val="10"/>
        <color rgb="FF222222"/>
        <rFont val="Arial"/>
      </rPr>
      <t>52</t>
    </r>
    <r>
      <rPr>
        <sz val="10"/>
        <color rgb="FF222222"/>
        <rFont val="Arial"/>
      </rPr>
      <t>(4), 916-926.</t>
    </r>
  </si>
  <si>
    <t>Hydrology Research</t>
  </si>
  <si>
    <t>https://iwaponline.com/hr/article/52/4/916/83040/Relative-impacts-of-increases-of-solar-radiation</t>
  </si>
  <si>
    <t xml:space="preserve">seasonal rates should be calculated from the monthly values in Table 1; did you find an annual rate for water temp reported somewhere else? </t>
  </si>
  <si>
    <t>CB</t>
  </si>
  <si>
    <t>USA</t>
  </si>
  <si>
    <t>PRISM  (http://prism.oregonstate.edu) 8-day</t>
  </si>
  <si>
    <t>Summer; (June-Sep)</t>
  </si>
  <si>
    <t>Bachmann, R. W. (2025). Climate Change for Lakes in the Coterminous United States in Relation to Lake Warming from 1981 to 2023. Water, 17(14), 2138.</t>
  </si>
  <si>
    <t>Bachmann 2025</t>
  </si>
  <si>
    <t>Water</t>
  </si>
  <si>
    <t>https://www.mdpi.com/2073-4441/17/14/2138</t>
  </si>
  <si>
    <t>MODIS LST day and night, Landsat (8-day)/CBERS/GaoFen-1 satellite</t>
  </si>
  <si>
    <t>Wan, W., Li, H., Xie, H., Hong, Y., Long, D., Zhao, L., ... &amp; Yang, W. (2017). A comprehensive data set of lake surface water temperature over the Tibetan Plateau derived from MODIS LST products 2001–2015. Scientific Data, 4(1), 1-10.</t>
  </si>
  <si>
    <t>Wan et al. 2017</t>
  </si>
  <si>
    <t>Scientific Data</t>
  </si>
  <si>
    <t>https://www.nature.com/articles/sdata201795</t>
  </si>
  <si>
    <t>−0.054</t>
  </si>
  <si>
    <t xml:space="preserve">annual (day) </t>
  </si>
  <si>
    <t>ATSR and AVHRR</t>
  </si>
  <si>
    <t>Schneider and Hook, 2010</t>
  </si>
  <si>
    <t>only ice free period considered (Jul-Sep, Jan-Mar), only nighttime data</t>
  </si>
  <si>
    <t>weighted linear regression</t>
  </si>
  <si>
    <t>Schneider et al., 2009</t>
  </si>
  <si>
    <t>https://agupubs.onlinelibrary.wiley.com/doi/pdfdirect/10.1029/2009GL040846</t>
  </si>
  <si>
    <t>Li et al., 2024</t>
  </si>
  <si>
    <t>North Slave Region, Canada</t>
  </si>
  <si>
    <t>Lake Sunapee</t>
  </si>
  <si>
    <t>Herrick et al. 2023</t>
  </si>
  <si>
    <r>
      <t>Shinohara, R., Tanaka, Y., Kanno, A., &amp; Matsushige, K. (2021). Relative impacts of increases of solar radiation and air temperature on the temperature of surface water in a shallow, eutrophic lake. </t>
    </r>
    <r>
      <rPr>
        <i/>
        <sz val="10"/>
        <color rgb="FF222222"/>
        <rFont val="Arial"/>
      </rPr>
      <t>Hydrology Research</t>
    </r>
    <r>
      <rPr>
        <sz val="10"/>
        <color rgb="FF222222"/>
        <rFont val="Arial"/>
      </rPr>
      <t>, </t>
    </r>
    <r>
      <rPr>
        <i/>
        <sz val="10"/>
        <color rgb="FF222222"/>
        <rFont val="Arial"/>
      </rPr>
      <t>52</t>
    </r>
    <r>
      <rPr>
        <sz val="10"/>
        <color rgb="FF222222"/>
        <rFont val="Arial"/>
      </rPr>
      <t>(4), 916-926.</t>
    </r>
  </si>
  <si>
    <t>Shinohara et al. 2021</t>
  </si>
  <si>
    <t>calculated rates for each season from 1</t>
  </si>
  <si>
    <t>https://ieeexplore.ieee.org/abstract/document/9428586</t>
  </si>
  <si>
    <t>Gives per lake and per season (day/night) gives individual rates for all 6 lakes</t>
  </si>
  <si>
    <t>CB: Annual report from monthly moving average</t>
  </si>
  <si>
    <t>BM</t>
  </si>
  <si>
    <r>
      <t>Duan, H., Yang, K., Shang, C., Zhou, X., &amp; Luo, Y. (2024). Anthropogenic impact of lake surface water temperature of lakes: A case study of eleven lakes on the yunnan-guizhou plateau. </t>
    </r>
    <r>
      <rPr>
        <i/>
        <sz val="10"/>
        <color rgb="FF222222"/>
        <rFont val="Arial"/>
        <family val="2"/>
        <charset val="1"/>
      </rPr>
      <t>Ecological Indicators</t>
    </r>
    <r>
      <rPr>
        <sz val="10"/>
        <color rgb="FF222222"/>
        <rFont val="Arial"/>
        <family val="2"/>
        <charset val="1"/>
      </rPr>
      <t>, </t>
    </r>
    <r>
      <rPr>
        <i/>
        <sz val="10"/>
        <color rgb="FF222222"/>
        <rFont val="Arial"/>
        <family val="2"/>
        <charset val="1"/>
      </rPr>
      <t>165</t>
    </r>
    <r>
      <rPr>
        <sz val="10"/>
        <color rgb="FF222222"/>
        <rFont val="Arial"/>
        <family val="2"/>
        <charset val="1"/>
      </rPr>
      <t>, 112165.</t>
    </r>
  </si>
  <si>
    <t>Lake Dianchi </t>
  </si>
  <si>
    <t>Point</t>
  </si>
  <si>
    <t>Satellite</t>
  </si>
  <si>
    <t xml:space="preserve">Journal of Hydrology </t>
  </si>
  <si>
    <t>https://doi.org/10.1016/j.jhydrol.2024.130971</t>
  </si>
  <si>
    <t>calculated based on paper's Table 3</t>
  </si>
  <si>
    <t>Tibetan Plateau (China)</t>
  </si>
  <si>
    <r>
      <t>Song, K., Wang, M., Du, J., Yuan, Y., Ma, J., Wang, M., &amp; Mu, G. (2016). Spatiotemporal variations of lake surface temperature across the Tibetan Plateau using MODIS LST product. </t>
    </r>
    <r>
      <rPr>
        <i/>
        <sz val="10"/>
        <color rgb="FF222222"/>
        <rFont val="Arial"/>
        <family val="2"/>
        <charset val="1"/>
      </rPr>
      <t>Remote Sensing</t>
    </r>
    <r>
      <rPr>
        <sz val="10"/>
        <color rgb="FF222222"/>
        <rFont val="Arial"/>
        <family val="2"/>
        <charset val="1"/>
      </rPr>
      <t>, </t>
    </r>
    <r>
      <rPr>
        <i/>
        <sz val="10"/>
        <color rgb="FF222222"/>
        <rFont val="Arial"/>
        <family val="2"/>
        <charset val="1"/>
      </rPr>
      <t>8</t>
    </r>
    <r>
      <rPr>
        <sz val="10"/>
        <color rgb="FF222222"/>
        <rFont val="Arial"/>
        <family val="2"/>
        <charset val="1"/>
      </rPr>
      <t>(10), 854.</t>
    </r>
  </si>
  <si>
    <t>Song et al. 2016</t>
  </si>
  <si>
    <t>rates digitized from Table 2</t>
  </si>
  <si>
    <t>https://www.mdpi.com/2072-4292/8/10/854</t>
  </si>
  <si>
    <t>?</t>
  </si>
  <si>
    <t>Annual (night)</t>
  </si>
  <si>
    <t>search terms</t>
  </si>
  <si>
    <t>total number results google scholar</t>
  </si>
  <si>
    <t>total number results SCOPUS</t>
  </si>
  <si>
    <t>Notes</t>
  </si>
  <si>
    <t>Name</t>
  </si>
  <si>
    <t>added to all_literature_organized?</t>
  </si>
  <si>
    <t>"lake surface water temperature" "rate of change"</t>
  </si>
  <si>
    <t>Y</t>
  </si>
  <si>
    <t>"lake surface water temperature" "cooling"</t>
  </si>
  <si>
    <t>"lake surface water temperature" "warming"</t>
  </si>
  <si>
    <t>"lake surface water temperature" "trend"</t>
  </si>
  <si>
    <t>"pond surface water temperature" "rate of change"</t>
  </si>
  <si>
    <t>"pond surface water temperature" "cooling"</t>
  </si>
  <si>
    <t>"lake surface temperature" "rate of change"</t>
  </si>
  <si>
    <t>"lake surface temperature" "cooling"</t>
  </si>
  <si>
    <t>"lake surface temperature" "warming"</t>
  </si>
  <si>
    <t>"lake surface temperature" "trend"</t>
  </si>
  <si>
    <t>"pond surface temperature" "rate of change"</t>
  </si>
  <si>
    <t>"pond surface temperature" "cooling"</t>
  </si>
  <si>
    <t>"pond surface water temperature" "warming"</t>
  </si>
  <si>
    <t>"pond surface water temperature" "trend"</t>
  </si>
  <si>
    <t>"pond" "surface temperature" "cooling"</t>
  </si>
  <si>
    <t># yield different results than "pond surface temperature" "cooling"</t>
  </si>
  <si>
    <t>TOTAL</t>
  </si>
  <si>
    <t>number screened</t>
  </si>
  <si>
    <t>do we need to add</t>
  </si>
  <si>
    <t>"lake surface water" "trend, rate of change, warming, cooling"</t>
  </si>
  <si>
    <t>rate of change in LSWT (specify units, degC/yr or degC/decade)</t>
  </si>
  <si>
    <t>spatial extent/region</t>
  </si>
  <si>
    <t>method of measuring LSWT (in situ, satellite skin temp, satellite bulk temp)</t>
  </si>
  <si>
    <t xml:space="preserve">method calculating rate of change </t>
  </si>
  <si>
    <t>measuring mean, min, or max LSWT trends</t>
  </si>
  <si>
    <t>annual, seasonal, or other trend</t>
  </si>
  <si>
    <t>number of lakes</t>
  </si>
  <si>
    <t>number of years of data</t>
  </si>
  <si>
    <t>year range</t>
  </si>
  <si>
    <t>0.023 degC/year</t>
  </si>
  <si>
    <t>~60</t>
  </si>
  <si>
    <t>1960-2023</t>
  </si>
  <si>
    <t>Kim et al. 2024 Machine learning-based modeling of surface water temperature dynamics in arctic lakes</t>
  </si>
  <si>
    <t>Max (0.76 K/dec) Min (0.17 K/dec)</t>
  </si>
  <si>
    <t>European lakes</t>
  </si>
  <si>
    <t>~36</t>
  </si>
  <si>
    <t>1981–2016</t>
  </si>
  <si>
    <r>
      <rPr>
        <sz val="11"/>
        <color rgb="FF000000"/>
        <rFont val="Aptos Narrow"/>
        <family val="2"/>
      </rPr>
      <t xml:space="preserve">Increasing trends from south (Lake Trichonida 0.21 K/decade,) to north (Inarijärvi 0.50 K/decade), and west (Thingvallavatn 0.38 K/decade) to east (Lake Onega 0.76 K/decade. </t>
    </r>
    <r>
      <rPr>
        <sz val="11"/>
        <color rgb="FF3C7D22"/>
        <rFont val="Aptos Narrow"/>
        <family val="2"/>
      </rPr>
      <t>"They talk about the correction methods for the skin to bulk difference and that it didn't improve the validation performance: "The method, applied to LSWT, only affects the systematic bias and has no effect on the variance of the error."  "Schneider and Hook  mention elevated summer trends in Northern Europe of up to around 0.8 K/dec"</t>
    </r>
  </si>
  <si>
    <t xml:space="preserve">0.037 °C/year </t>
  </si>
  <si>
    <t>Tibetan Plateau (Asia)</t>
  </si>
  <si>
    <t>2001–2015</t>
  </si>
  <si>
    <r>
      <rPr>
        <sz val="11"/>
        <color rgb="FF000000"/>
        <rFont val="Aptos Narrow"/>
        <family val="2"/>
      </rPr>
      <t xml:space="preserve">Has warming </t>
    </r>
    <r>
      <rPr>
        <b/>
        <sz val="11"/>
        <color rgb="FF000000"/>
        <rFont val="Aptos Narrow"/>
        <family val="2"/>
      </rPr>
      <t xml:space="preserve">(0.076 °C/year) and cooling (−0.053 °C/year) lakes.  </t>
    </r>
  </si>
  <si>
    <t>0.24 degC/decade</t>
  </si>
  <si>
    <t>1451 (726 were small, 1-5 km2)</t>
  </si>
  <si>
    <t>~20</t>
  </si>
  <si>
    <t>2001-2021</t>
  </si>
  <si>
    <t>Song et al. 2024 Lake surface water temperature in China from 2001 to 2021 based on GEE and HANTS</t>
  </si>
  <si>
    <t>Fig 8 shows the effect of lake area and elevation LSWT change; they found nighttime temps increased more than daytime temps, looks like they use skin temperature without correcting for bulk temperature, also noted an abrupt change in the rate of LSWT change around 2010, good notes on reasons for slower rate of change in LSWT (no ice, models may exaggerate in other studies)</t>
  </si>
  <si>
    <t>0.5 decC/decade (0.36-0.64 range)</t>
  </si>
  <si>
    <t>~30</t>
  </si>
  <si>
    <t>1993-2022</t>
  </si>
  <si>
    <t>Sojka and Ptak 2024 Reconstruction of Surface Water Temperature in Lakes as a Source for Long-Term Analysis of Its Changes</t>
  </si>
  <si>
    <t>they look at monthly rates of change (November having largest, May having smallest); useful reference to World Meteorological Organization (2019) stating that 30-year trends are best practice for climatic analyses, found only warming trends in these lakes</t>
  </si>
  <si>
    <t>0.040°C yr −1</t>
  </si>
  <si>
    <t xml:space="preserve"> 91 large lakes (&gt;100 km2)in China</t>
  </si>
  <si>
    <t>Data set includes remote sensing products, climate analysis data, and metereological observation data.</t>
  </si>
  <si>
    <t>FLake (One-dimensional thermodynamic model)</t>
  </si>
  <si>
    <t>~ 39</t>
  </si>
  <si>
    <t>1979–2018</t>
  </si>
  <si>
    <t>Huang et al. 2024</t>
  </si>
  <si>
    <t>https://doi.org/10.1029/2022JD038465</t>
  </si>
  <si>
    <t>0.43 degC/decade</t>
  </si>
  <si>
    <t>CGreece</t>
  </si>
  <si>
    <t>1981-2020</t>
  </si>
  <si>
    <t xml:space="preserve">An ice-free lake in China </t>
  </si>
  <si>
    <t>2001 - 2018</t>
  </si>
  <si>
    <t>0.21 degC/decade</t>
  </si>
  <si>
    <t>Lake Tahoe, United States</t>
  </si>
  <si>
    <t>modelled using hybrid model (air2water) + RCP scenarios</t>
  </si>
  <si>
    <t>air2water model</t>
  </si>
  <si>
    <t>~50</t>
  </si>
  <si>
    <t>1969-2017</t>
  </si>
  <si>
    <t>Piccolroaz et al., 2017 On the predictability of lake surface temperature using air temperature from a changing climate: A case study for Lake Tahoe (U.S.A.)</t>
  </si>
  <si>
    <t>Limnology &amp; Oceanography</t>
  </si>
  <si>
    <t>On the predictability of lake surface temperature using air temperature in a changing climate: A case study for Lake Tahoe (U.S.A.)</t>
  </si>
  <si>
    <t>0.44 degC/decade</t>
  </si>
  <si>
    <t>Temperate lakes</t>
  </si>
  <si>
    <t>long-term dataset (with lake characteristics) +  regression tree analysis</t>
  </si>
  <si>
    <t>~35</t>
  </si>
  <si>
    <t>1979-2017</t>
  </si>
  <si>
    <t>Zhou et al., Controls of thermal response of temperate lakes to atmospheric warming</t>
  </si>
  <si>
    <t>Summer temperatures (July 15 to August 31); random forest to calculate variables important for explaining future trends (i.e. differences between air and water); large methods section with description of different approaches</t>
  </si>
  <si>
    <t>Various year-through-year configurations, but 0.54 (lake 1)/0.55 (lake 2) degC Dec-1 (1988-2023); 0.22/0.22 (2024-2100) for SSP245; 0.54/0.55 (2024-2100) SSP585. And noteably -0.14/-0.21 1954-1987.</t>
  </si>
  <si>
    <t>Air2Water model (Piccolroaz, S. Prediction of lake surface temperature using the air2water model: Guidelines, challenges, and future perspectives. Adv. Oceanogr. Limnol. 2016, 7, 1.)</t>
  </si>
  <si>
    <t>Sen's slope (“mk” R package)</t>
  </si>
  <si>
    <t>146 (69 Measured, 77 CMIP6)</t>
  </si>
  <si>
    <t>1954–2023 (Measured); 2024–2100 (SSP245 &amp; SSP585, specific CMIP6 model not noted)</t>
  </si>
  <si>
    <t>Resources (MDPI)</t>
  </si>
  <si>
    <t>0.44C/decade (0.14-0.69C/decade)</t>
  </si>
  <si>
    <t>1987-2016</t>
  </si>
  <si>
    <t>showed different trends between annual mean and annual max, focus on differences across seasons, as well as relationship between water and air temperature</t>
  </si>
  <si>
    <t>France</t>
  </si>
  <si>
    <t>Landsat 5 and Landsat 7</t>
  </si>
  <si>
    <t>1999–2016</t>
  </si>
  <si>
    <t>Prats et al. 2018</t>
  </si>
  <si>
    <t>Earth System Science Data</t>
  </si>
  <si>
    <t>Still, the utility of the data set LakeSST for climate change studies is limited by the magnitude of its RMSE (1.16 _C for T _ 0:50m, 1.29 _C for T _sml), which means that longer time series may be necessary to detect long-term trends confidently</t>
  </si>
  <si>
    <t>https://essd.copernicus.org/articles/10/727/2018/</t>
  </si>
  <si>
    <t>average rate of 0.045 ± 0.011°C yr−1 and rates as high as 0.10 ± 0.01°C yr−1</t>
  </si>
  <si>
    <t>worldwide</t>
  </si>
  <si>
    <t>1985–2009</t>
  </si>
  <si>
    <t>0.11 _x000E_C yr􀀀1</t>
  </si>
  <si>
    <t>1992–2008</t>
  </si>
  <si>
    <t>0.34C/decade</t>
  </si>
  <si>
    <t>1985-2009</t>
  </si>
  <si>
    <r>
      <t>O'Reilly, C. M., Sharma, S., Gray, D. K., Hampton, S. E., Read, J. S., Rowley, R. J., ... &amp; Zhang, G. (2015). Rapid and highly variable warming of lake surface waters around the globe. </t>
    </r>
    <r>
      <rPr>
        <i/>
        <sz val="10"/>
        <color rgb="FF222222"/>
        <rFont val="Arial"/>
        <family val="2"/>
        <charset val="1"/>
      </rPr>
      <t>Geophysical Research Letters</t>
    </r>
    <r>
      <rPr>
        <sz val="10"/>
        <color rgb="FF222222"/>
        <rFont val="Arial"/>
        <family val="2"/>
        <charset val="1"/>
      </rPr>
      <t>, </t>
    </r>
    <r>
      <rPr>
        <i/>
        <sz val="10"/>
        <color rgb="FF222222"/>
        <rFont val="Arial"/>
        <family val="2"/>
        <charset val="1"/>
      </rPr>
      <t>42</t>
    </r>
    <r>
      <rPr>
        <sz val="10"/>
        <color rgb="FF222222"/>
        <rFont val="Arial"/>
        <family val="2"/>
        <charset val="1"/>
      </rPr>
      <t>(24), 10-773.</t>
    </r>
  </si>
  <si>
    <t>country</t>
  </si>
  <si>
    <r>
      <t>Wan, W., Zhao, L., Xie, H., Liu, B., Li, H., Cui, Y., ... &amp; Hong, Y. (2018). Lake surface water temperature change over the Tibetan plateau from 2001 to 2015: A sensitive indicator of the warming climate. </t>
    </r>
    <r>
      <rPr>
        <i/>
        <sz val="10"/>
        <color rgb="FF222222"/>
        <rFont val="Arial"/>
        <family val="2"/>
        <charset val="1"/>
      </rPr>
      <t>Geophysical Research Letters</t>
    </r>
    <r>
      <rPr>
        <sz val="10"/>
        <color rgb="FF222222"/>
        <rFont val="Arial"/>
        <family val="2"/>
        <charset val="1"/>
      </rPr>
      <t>, </t>
    </r>
    <r>
      <rPr>
        <i/>
        <sz val="10"/>
        <color rgb="FF222222"/>
        <rFont val="Arial"/>
        <family val="2"/>
        <charset val="1"/>
      </rPr>
      <t>45</t>
    </r>
    <r>
      <rPr>
        <sz val="10"/>
        <color rgb="FF222222"/>
        <rFont val="Arial"/>
        <family val="2"/>
        <charset val="1"/>
      </rPr>
      <t>(20), 11-177.</t>
    </r>
  </si>
  <si>
    <r>
      <rPr>
        <sz val="10"/>
        <color rgb="FF222222"/>
        <rFont val="Arial"/>
      </rPr>
      <t>Wan, W., Zhao, L., Xie, H., Liu, B., Li, H., Cui, Y., ... &amp; Hong, Y. (2018). Lake surface water temperature change over the Tibetan plateau from 2001 to 2015: A sensitive indicator of the warming climate. </t>
    </r>
    <r>
      <rPr>
        <i/>
        <sz val="10"/>
        <color rgb="FF222222"/>
        <rFont val="Arial"/>
      </rPr>
      <t>Geophysical Research Letters</t>
    </r>
    <r>
      <rPr>
        <sz val="10"/>
        <color rgb="FF222222"/>
        <rFont val="Arial"/>
      </rPr>
      <t>, </t>
    </r>
    <r>
      <rPr>
        <i/>
        <sz val="10"/>
        <color rgb="FF222222"/>
        <rFont val="Arial"/>
      </rPr>
      <t>45</t>
    </r>
    <r>
      <rPr>
        <sz val="10"/>
        <color rgb="FF222222"/>
        <rFont val="Arial"/>
      </rPr>
      <t>(20), 11-177.</t>
    </r>
  </si>
  <si>
    <r>
      <t>Song, S., Yang, J., Liu, L., Bai, G., Zhou, J., &amp; McKay, D. (2024). Lake surface water temperature in China from 2001 to 2021 based on GEE and HANTS. </t>
    </r>
    <r>
      <rPr>
        <i/>
        <sz val="10"/>
        <color rgb="FF222222"/>
        <rFont val="Arial"/>
        <family val="2"/>
        <charset val="1"/>
      </rPr>
      <t>Ecological Informatics</t>
    </r>
    <r>
      <rPr>
        <sz val="10"/>
        <color rgb="FF222222"/>
        <rFont val="Arial"/>
        <family val="2"/>
        <charset val="1"/>
      </rPr>
      <t>, </t>
    </r>
    <r>
      <rPr>
        <i/>
        <sz val="10"/>
        <color rgb="FF222222"/>
        <rFont val="Arial"/>
        <family val="2"/>
        <charset val="1"/>
      </rPr>
      <t>84</t>
    </r>
    <r>
      <rPr>
        <sz val="10"/>
        <color rgb="FF222222"/>
        <rFont val="Arial"/>
        <family val="2"/>
        <charset val="1"/>
      </rPr>
      <t>, 102903.</t>
    </r>
  </si>
  <si>
    <t>Huang et al. 2023</t>
  </si>
  <si>
    <r>
      <t>Stefanidis, K., Varlas, G., Papadopoulos, A., &amp; Dimitriou, E. (2021). Four decades of surface temperature, precipitation, and wind speed trends over lakes of Greece. </t>
    </r>
    <r>
      <rPr>
        <i/>
        <sz val="10"/>
        <color rgb="FF222222"/>
        <rFont val="Arial"/>
        <family val="2"/>
        <charset val="1"/>
      </rPr>
      <t>Sustainability</t>
    </r>
    <r>
      <rPr>
        <sz val="10"/>
        <color rgb="FF222222"/>
        <rFont val="Arial"/>
        <family val="2"/>
        <charset val="1"/>
      </rPr>
      <t>, </t>
    </r>
    <r>
      <rPr>
        <i/>
        <sz val="10"/>
        <color rgb="FF222222"/>
        <rFont val="Arial"/>
        <family val="2"/>
        <charset val="1"/>
      </rPr>
      <t>13</t>
    </r>
    <r>
      <rPr>
        <sz val="10"/>
        <color rgb="FF222222"/>
        <rFont val="Arial"/>
        <family val="2"/>
        <charset val="1"/>
      </rPr>
      <t>(17), 9908.</t>
    </r>
  </si>
  <si>
    <r>
      <t>Zhou, J., Leavitt, P. R., Rose, K. C., Wang, X., Zhang, Y., Shi, K., &amp; Qin, B. (2023). Controls of thermal response of temperate lakes to atmospheric warming. </t>
    </r>
    <r>
      <rPr>
        <i/>
        <sz val="10"/>
        <color rgb="FF222222"/>
        <rFont val="Arial"/>
        <family val="2"/>
        <charset val="1"/>
      </rPr>
      <t>Nature Communications</t>
    </r>
    <r>
      <rPr>
        <sz val="10"/>
        <color rgb="FF222222"/>
        <rFont val="Arial"/>
        <family val="2"/>
        <charset val="1"/>
      </rPr>
      <t>, </t>
    </r>
    <r>
      <rPr>
        <i/>
        <sz val="10"/>
        <color rgb="FF222222"/>
        <rFont val="Arial"/>
        <family val="2"/>
        <charset val="1"/>
      </rPr>
      <t>14</t>
    </r>
    <r>
      <rPr>
        <sz val="10"/>
        <color rgb="FF222222"/>
        <rFont val="Arial"/>
        <family val="2"/>
        <charset val="1"/>
      </rPr>
      <t>(1), 6503.</t>
    </r>
  </si>
  <si>
    <t>Song e tal. 2016</t>
  </si>
  <si>
    <t>MDPI: Remote Sensing</t>
  </si>
  <si>
    <t>Woolway et al. 2019</t>
  </si>
  <si>
    <t>Pilla et al. 2015</t>
  </si>
  <si>
    <t>JGR Biogeosciences</t>
  </si>
  <si>
    <t>Shi et al. 2024</t>
  </si>
  <si>
    <t>Chile</t>
  </si>
  <si>
    <t>Kendall's tau</t>
  </si>
  <si>
    <t>Qinhai Lake</t>
  </si>
  <si>
    <r>
      <t>Su, D., Hu, X., Wen, L., Lyu, S., Gao, X., Zhao, L., ... &amp; Kirillin, G. (2019). Numerical study on the response of the largest lake in China to climate change. </t>
    </r>
    <r>
      <rPr>
        <i/>
        <sz val="10"/>
        <color rgb="FF222222"/>
        <rFont val="Arial"/>
        <family val="2"/>
        <charset val="1"/>
      </rPr>
      <t>Hydrology and Earth System Sciences</t>
    </r>
    <r>
      <rPr>
        <sz val="10"/>
        <color rgb="FF222222"/>
        <rFont val="Arial"/>
        <family val="2"/>
        <charset val="1"/>
      </rPr>
      <t>, </t>
    </r>
    <r>
      <rPr>
        <i/>
        <sz val="10"/>
        <color rgb="FF222222"/>
        <rFont val="Arial"/>
        <family val="2"/>
        <charset val="1"/>
      </rPr>
      <t>23</t>
    </r>
    <r>
      <rPr>
        <sz val="10"/>
        <color rgb="FF222222"/>
        <rFont val="Arial"/>
        <family val="2"/>
        <charset val="1"/>
      </rPr>
      <t>(4), 2093-2109.</t>
    </r>
  </si>
  <si>
    <r>
      <t>Yang, J., Yang, K., Zhang, Y., Luo, Y., &amp; Shang, C. (2022). Maximum lake surface water temperatures changing characteristics under climate change. </t>
    </r>
    <r>
      <rPr>
        <i/>
        <sz val="10"/>
        <color rgb="FF222222"/>
        <rFont val="Arial"/>
        <family val="2"/>
        <charset val="1"/>
      </rPr>
      <t>Environmental Science and Pollution Research</t>
    </r>
    <r>
      <rPr>
        <sz val="10"/>
        <color rgb="FF222222"/>
        <rFont val="Arial"/>
        <family val="2"/>
        <charset val="1"/>
      </rPr>
      <t>, </t>
    </r>
    <r>
      <rPr>
        <i/>
        <sz val="10"/>
        <color rgb="FF222222"/>
        <rFont val="Arial"/>
        <family val="2"/>
        <charset val="1"/>
      </rPr>
      <t>29</t>
    </r>
    <r>
      <rPr>
        <sz val="10"/>
        <color rgb="FF222222"/>
        <rFont val="Arial"/>
        <family val="2"/>
        <charset val="1"/>
      </rPr>
      <t>(2), 2547-2554.</t>
    </r>
  </si>
  <si>
    <t xml:space="preserve">Landsat 5 and 7 </t>
  </si>
  <si>
    <r>
      <t>Woolway, R. I., Carrea, L., Merchant, C. J., Dokulil, M., de Eyto, E., DeGasperi, C., ... &amp; Weyhenmeyer, G. (2017). Lake surface temperature [in “State of the Climate in 2016”]. </t>
    </r>
    <r>
      <rPr>
        <i/>
        <sz val="10"/>
        <color rgb="FF222222"/>
        <rFont val="Arial"/>
        <family val="2"/>
        <charset val="1"/>
      </rPr>
      <t>Bulletin of the American Meteorological Society</t>
    </r>
    <r>
      <rPr>
        <sz val="10"/>
        <color rgb="FF222222"/>
        <rFont val="Arial"/>
        <family val="2"/>
        <charset val="1"/>
      </rPr>
      <t>, </t>
    </r>
    <r>
      <rPr>
        <i/>
        <sz val="10"/>
        <color rgb="FF222222"/>
        <rFont val="Arial"/>
        <family val="2"/>
        <charset val="1"/>
      </rPr>
      <t>98</t>
    </r>
    <r>
      <rPr>
        <sz val="10"/>
        <color rgb="FF222222"/>
        <rFont val="Arial"/>
        <family val="2"/>
        <charset val="1"/>
      </rPr>
      <t>(8), 13-14.</t>
    </r>
  </si>
  <si>
    <t>open water</t>
  </si>
  <si>
    <t>Italy</t>
  </si>
  <si>
    <t>Lake Bracciano</t>
  </si>
  <si>
    <t>Lake Martignano</t>
  </si>
  <si>
    <t xml:space="preserve">satellite  </t>
  </si>
  <si>
    <r>
      <t>Czernecki, B., &amp; Ptak, M. (2018). The impact of global warming on lake surface water temperature in Poland-the application of empirical-statistical downscaling, 1971-2100. </t>
    </r>
    <r>
      <rPr>
        <i/>
        <sz val="10"/>
        <color rgb="FF222222"/>
        <rFont val="Arial"/>
        <family val="2"/>
        <charset val="1"/>
      </rPr>
      <t>Journal of Limnology</t>
    </r>
    <r>
      <rPr>
        <sz val="10"/>
        <color rgb="FF222222"/>
        <rFont val="Arial"/>
        <family val="2"/>
        <charset val="1"/>
      </rPr>
      <t>, </t>
    </r>
    <r>
      <rPr>
        <i/>
        <sz val="10"/>
        <color rgb="FF222222"/>
        <rFont val="Arial"/>
        <family val="2"/>
        <charset val="1"/>
      </rPr>
      <t>77</t>
    </r>
    <r>
      <rPr>
        <sz val="10"/>
        <color rgb="FF222222"/>
        <rFont val="Arial"/>
        <family val="2"/>
        <charset val="1"/>
      </rPr>
      <t>(2).</t>
    </r>
  </si>
  <si>
    <t>Modis</t>
  </si>
  <si>
    <t>AVHRR archive</t>
  </si>
  <si>
    <t>Thiel–Sen slope</t>
  </si>
  <si>
    <t>Lieberherr and Wunderle, 2018</t>
  </si>
  <si>
    <t>Remote sensing</t>
  </si>
  <si>
    <t>https://www.mdpi.com/2072-4292/10/7/990</t>
  </si>
  <si>
    <t>other entry lists different set of years than this one. also should add rows for the seasons (mean across lakes in from Table 7)</t>
  </si>
  <si>
    <t>Wular Lake</t>
  </si>
  <si>
    <t>MOD11A1; Wan et al., 2015</t>
  </si>
  <si>
    <t xml:space="preserve">Tang, Linfeng &amp; Yang, Kun &amp; Shang, Chunxue &amp; Peng, Zongqi &amp; Luo, Yi. (2022). Spatial impact of urban expansion on lake surface water temperature based on the perspective of watershed scale. Frontiers in Environmental Science. 10. 10.3389/fenvs.2022.991502. </t>
  </si>
  <si>
    <t>Xie et al., 2022</t>
  </si>
  <si>
    <t>report also diurnal data</t>
  </si>
  <si>
    <t>direct measurements, Air2Water model</t>
  </si>
  <si>
    <t>Ptak et al., 2025</t>
  </si>
  <si>
    <t>Resource (MDPI)</t>
  </si>
  <si>
    <t>can you clarify why there are two entries for this paper with two different rates?</t>
  </si>
  <si>
    <t>direct measurements, GAM model</t>
  </si>
  <si>
    <t>Wen et al., 2022</t>
  </si>
  <si>
    <t>https://www.mdpi.com/2072-4292/14/8/1774</t>
  </si>
  <si>
    <t>Yang et al. 2020</t>
  </si>
  <si>
    <t>MOD11A3</t>
  </si>
  <si>
    <t>MOD11A1</t>
  </si>
  <si>
    <t>MODIS 11A2</t>
  </si>
  <si>
    <t>CTL and CFT</t>
  </si>
  <si>
    <t>in situ, Landsat 5, 7 and 8 collection 1 Level 1 Tier 1</t>
  </si>
  <si>
    <t>max</t>
  </si>
  <si>
    <t>Manner-Kendall </t>
  </si>
  <si>
    <t>CMIP5</t>
  </si>
  <si>
    <t>HadISD</t>
  </si>
  <si>
    <t>min</t>
  </si>
  <si>
    <t>Peru</t>
  </si>
  <si>
    <t>Deming regression</t>
  </si>
  <si>
    <r>
      <t>Olowoyeye, T., Ptak, M., &amp; Sojka, M. (2023). How Do Extreme Lake Water Temperatures in Poland Respond to Climate Change?. </t>
    </r>
    <r>
      <rPr>
        <i/>
        <sz val="10"/>
        <color rgb="FF222222"/>
        <rFont val="Arial"/>
        <family val="2"/>
        <charset val="1"/>
      </rPr>
      <t>Resources</t>
    </r>
    <r>
      <rPr>
        <sz val="10"/>
        <color rgb="FF222222"/>
        <rFont val="Arial"/>
        <family val="2"/>
        <charset val="1"/>
      </rPr>
      <t>, </t>
    </r>
    <r>
      <rPr>
        <i/>
        <sz val="10"/>
        <color rgb="FF222222"/>
        <rFont val="Arial"/>
        <family val="2"/>
        <charset val="1"/>
      </rPr>
      <t>12</t>
    </r>
    <r>
      <rPr>
        <sz val="10"/>
        <color rgb="FF222222"/>
        <rFont val="Arial"/>
        <family val="2"/>
        <charset val="1"/>
      </rPr>
      <t>(9), 107.</t>
    </r>
  </si>
  <si>
    <t>Poland (Noethern)</t>
  </si>
  <si>
    <t>Average</t>
  </si>
  <si>
    <t>Mean</t>
  </si>
  <si>
    <t>The simulated warming rates of LSWTs in spring and winter are more significant than those in summer and atumn.</t>
  </si>
  <si>
    <t>Niedrist et al 2018</t>
  </si>
  <si>
    <t>Ice free summer (July, Aug, Spet)</t>
  </si>
  <si>
    <t>July-Aug-Sept</t>
  </si>
  <si>
    <t>Not stated (linear regression?)</t>
  </si>
  <si>
    <t>Yunnan Province</t>
  </si>
  <si>
    <t>Various</t>
  </si>
  <si>
    <t xml:space="preserve">Duan, Z., Gao, W., Cheng, G., Zhang, Y., &amp; Chang, X. (2024). Warming surface and Lake heatwaves as key drivers to harmful algal Blooms: A case study of Lake Dianchi, China [Article]. Journal of Hydrology, 632, Article 130971. https://doi.org/10.1016/j.jhydrol.2024.130971 </t>
  </si>
  <si>
    <t>summer (not clear if 3-months or based on their criteria)</t>
  </si>
  <si>
    <t>Gan et al 2025</t>
  </si>
  <si>
    <t>Sen Slope</t>
  </si>
  <si>
    <t>? (appears to be mean)</t>
  </si>
  <si>
    <t>Sen Test</t>
  </si>
  <si>
    <t>daily observed</t>
  </si>
  <si>
    <t>Wang et al., 2025</t>
  </si>
  <si>
    <t>Atmosphere</t>
  </si>
  <si>
    <t>Landsat satellite images</t>
  </si>
  <si>
    <t>? (assuming linear regression)</t>
  </si>
  <si>
    <t>Japan Lake Kasumigaura</t>
  </si>
  <si>
    <r>
      <t>Dokulil, M. T., de Eyto, E., Maberly, S. C., May, L., Weyhenmeyer, G. A., &amp; Woolway, R. I. (2021). Increasing maximum lake surface temperature under climate change. </t>
    </r>
    <r>
      <rPr>
        <i/>
        <sz val="10"/>
        <color rgb="FF222222"/>
        <rFont val="Arial"/>
        <family val="2"/>
        <charset val="1"/>
      </rPr>
      <t>Climatic Change</t>
    </r>
    <r>
      <rPr>
        <sz val="10"/>
        <color rgb="FF222222"/>
        <rFont val="Arial"/>
        <family val="2"/>
        <charset val="1"/>
      </rPr>
      <t>, </t>
    </r>
    <r>
      <rPr>
        <i/>
        <sz val="10"/>
        <color rgb="FF222222"/>
        <rFont val="Arial"/>
        <family val="2"/>
        <charset val="1"/>
      </rPr>
      <t>165</t>
    </r>
    <r>
      <rPr>
        <sz val="10"/>
        <color rgb="FF222222"/>
        <rFont val="Arial"/>
        <family val="2"/>
        <charset val="1"/>
      </rPr>
      <t>(3), 56.</t>
    </r>
  </si>
  <si>
    <r>
      <rPr>
        <sz val="10"/>
        <color rgb="FF222222"/>
        <rFont val="Arial"/>
      </rPr>
      <t>Yang, K., Yu, Z., &amp; Luo, Y. (2020). Analysis on driving factors of lake surface water temperature for major lakes in Yunnan-Guizhou Plateau. </t>
    </r>
    <r>
      <rPr>
        <i/>
        <sz val="10"/>
        <color rgb="FF222222"/>
        <rFont val="Arial"/>
      </rPr>
      <t>Water Research</t>
    </r>
    <r>
      <rPr>
        <sz val="10"/>
        <color rgb="FF222222"/>
        <rFont val="Arial"/>
      </rPr>
      <t>, </t>
    </r>
    <r>
      <rPr>
        <i/>
        <sz val="10"/>
        <color rgb="FF222222"/>
        <rFont val="Arial"/>
      </rPr>
      <t>184</t>
    </r>
    <r>
      <rPr>
        <sz val="10"/>
        <color rgb="FF222222"/>
        <rFont val="Arial"/>
      </rPr>
      <t>, 116018.</t>
    </r>
  </si>
  <si>
    <r>
      <t>Woolway, R. I., Weyhenmeyer, G. A., Schmid, M., Dokulil, M. T., de Eyto, E., Maberly, S. C., ... &amp; Merchant, C. J. (2019). Substantial increase in minimum lake surface temperatures under climate change. </t>
    </r>
    <r>
      <rPr>
        <i/>
        <sz val="10"/>
        <color rgb="FF222222"/>
        <rFont val="Arial"/>
        <family val="2"/>
        <charset val="1"/>
      </rPr>
      <t>Climatic Change</t>
    </r>
    <r>
      <rPr>
        <sz val="10"/>
        <color rgb="FF222222"/>
        <rFont val="Arial"/>
        <family val="2"/>
        <charset val="1"/>
      </rPr>
      <t>, </t>
    </r>
    <r>
      <rPr>
        <i/>
        <sz val="10"/>
        <color rgb="FF222222"/>
        <rFont val="Arial"/>
        <family val="2"/>
        <charset val="1"/>
      </rPr>
      <t>155</t>
    </r>
    <r>
      <rPr>
        <sz val="10"/>
        <color rgb="FF222222"/>
        <rFont val="Arial"/>
        <family val="2"/>
        <charset val="1"/>
      </rPr>
      <t>(1), 81-94.</t>
    </r>
  </si>
  <si>
    <r>
      <t>Jia, T., Yang, K., Peng, Z., Tang, L., Duan, H., &amp; Luo, Y. (2022). Review on the change trend, attribution analysis, retrieval, simulation, and prediction of lake surface water temperature. </t>
    </r>
    <r>
      <rPr>
        <i/>
        <sz val="10"/>
        <color rgb="FF222222"/>
        <rFont val="Arial"/>
        <family val="2"/>
        <charset val="1"/>
      </rPr>
      <t>IEEE Journal of Selected Topics in Applied Earth Observations and Remote Sensing</t>
    </r>
    <r>
      <rPr>
        <sz val="10"/>
        <color rgb="FF222222"/>
        <rFont val="Arial"/>
        <family val="2"/>
        <charset val="1"/>
      </rPr>
      <t>, </t>
    </r>
    <r>
      <rPr>
        <i/>
        <sz val="10"/>
        <color rgb="FF222222"/>
        <rFont val="Arial"/>
        <family val="2"/>
        <charset val="1"/>
      </rPr>
      <t>15</t>
    </r>
    <r>
      <rPr>
        <sz val="10"/>
        <color rgb="FF222222"/>
        <rFont val="Arial"/>
        <family val="2"/>
        <charset val="1"/>
      </rPr>
      <t>, 6324-6355.</t>
    </r>
  </si>
  <si>
    <r>
      <t>Duan, H., Yang, K., Zhou, X., &amp; Luo, Y. (2025). Temporal and spatial dynamics of surface water temperature changes in China's major lakes. </t>
    </r>
    <r>
      <rPr>
        <i/>
        <sz val="10"/>
        <color rgb="FF222222"/>
        <rFont val="Arial"/>
        <family val="2"/>
        <charset val="1"/>
      </rPr>
      <t>Water Resources Research</t>
    </r>
    <r>
      <rPr>
        <sz val="10"/>
        <color rgb="FF222222"/>
        <rFont val="Arial"/>
        <family val="2"/>
        <charset val="1"/>
      </rPr>
      <t>, </t>
    </r>
    <r>
      <rPr>
        <i/>
        <sz val="10"/>
        <color rgb="FF222222"/>
        <rFont val="Arial"/>
        <family val="2"/>
        <charset val="1"/>
      </rPr>
      <t>61</t>
    </r>
    <r>
      <rPr>
        <sz val="10"/>
        <color rgb="FF222222"/>
        <rFont val="Arial"/>
        <family val="2"/>
        <charset val="1"/>
      </rPr>
      <t>(7), e2024WR038855.</t>
    </r>
  </si>
  <si>
    <r>
      <t>Senyshen, M. D., &amp; Chen, D. (2023). The impact of land cover change on surface water temperature of small lakes in Eastern Ontario from 1985 to 2020. </t>
    </r>
    <r>
      <rPr>
        <i/>
        <sz val="10"/>
        <color rgb="FF222222"/>
        <rFont val="Arial"/>
        <family val="2"/>
        <charset val="1"/>
      </rPr>
      <t>Land</t>
    </r>
    <r>
      <rPr>
        <sz val="10"/>
        <color rgb="FF222222"/>
        <rFont val="Arial"/>
        <family val="2"/>
        <charset val="1"/>
      </rPr>
      <t>, </t>
    </r>
    <r>
      <rPr>
        <i/>
        <sz val="10"/>
        <color rgb="FF222222"/>
        <rFont val="Arial"/>
        <family val="2"/>
        <charset val="1"/>
      </rPr>
      <t>12</t>
    </r>
    <r>
      <rPr>
        <sz val="10"/>
        <color rgb="FF222222"/>
        <rFont val="Arial"/>
        <family val="2"/>
        <charset val="1"/>
      </rPr>
      <t>(3), 547.</t>
    </r>
  </si>
  <si>
    <r>
      <t>Duan, H., Shang, C., Yang, K., &amp; Luo, Y. (2022). Dynamic response of surface water temperature in Urban Lakes under different climate scenarios—a case study in dianchi Lake, China. </t>
    </r>
    <r>
      <rPr>
        <i/>
        <sz val="10"/>
        <color rgb="FF222222"/>
        <rFont val="Arial"/>
        <family val="2"/>
        <charset val="1"/>
      </rPr>
      <t>International Journal of Environmental Research and Public Health</t>
    </r>
    <r>
      <rPr>
        <sz val="10"/>
        <color rgb="FF222222"/>
        <rFont val="Arial"/>
        <family val="2"/>
        <charset val="1"/>
      </rPr>
      <t>, </t>
    </r>
    <r>
      <rPr>
        <i/>
        <sz val="10"/>
        <color rgb="FF222222"/>
        <rFont val="Arial"/>
        <family val="2"/>
        <charset val="1"/>
      </rPr>
      <t>19</t>
    </r>
    <r>
      <rPr>
        <sz val="10"/>
        <color rgb="FF222222"/>
        <rFont val="Arial"/>
        <family val="2"/>
        <charset val="1"/>
      </rPr>
      <t>(19), 12142.</t>
    </r>
  </si>
  <si>
    <r>
      <t>Layden, A., Merchant, C., &amp; MacCallum, S. (2015). Global climatology of surface water temperatures of large lakes by remote sensing. </t>
    </r>
    <r>
      <rPr>
        <i/>
        <sz val="10"/>
        <color rgb="FF222222"/>
        <rFont val="Arial"/>
        <family val="2"/>
        <charset val="1"/>
      </rPr>
      <t>International Journal of Climatology</t>
    </r>
    <r>
      <rPr>
        <sz val="10"/>
        <color rgb="FF222222"/>
        <rFont val="Arial"/>
        <family val="2"/>
        <charset val="1"/>
      </rPr>
      <t>, </t>
    </r>
    <r>
      <rPr>
        <i/>
        <sz val="10"/>
        <color rgb="FF222222"/>
        <rFont val="Arial"/>
        <family val="2"/>
        <charset val="1"/>
      </rPr>
      <t>35</t>
    </r>
    <r>
      <rPr>
        <sz val="10"/>
        <color rgb="FF222222"/>
        <rFont val="Arial"/>
        <family val="2"/>
        <charset val="1"/>
      </rPr>
      <t>(15), 4464-4479.</t>
    </r>
  </si>
  <si>
    <r>
      <t>Shinohara, R., Tanaka, Y., Kanno, A., &amp; Matsushige, K. (2021). Relative impacts of increases of solar radiation and air temperature on the temperature of surface water in a shallow, eutrophic lake. </t>
    </r>
    <r>
      <rPr>
        <i/>
        <sz val="10"/>
        <color rgb="FF222222"/>
        <rFont val="Arial"/>
        <family val="2"/>
        <charset val="1"/>
      </rPr>
      <t>Hydrology Research</t>
    </r>
    <r>
      <rPr>
        <sz val="10"/>
        <color rgb="FF222222"/>
        <rFont val="Arial"/>
        <family val="2"/>
        <charset val="1"/>
      </rPr>
      <t>, </t>
    </r>
    <r>
      <rPr>
        <i/>
        <sz val="10"/>
        <color rgb="FF222222"/>
        <rFont val="Arial"/>
        <family val="2"/>
        <charset val="1"/>
      </rPr>
      <t>52</t>
    </r>
    <r>
      <rPr>
        <sz val="10"/>
        <color rgb="FF222222"/>
        <rFont val="Arial"/>
        <family val="2"/>
        <charset val="1"/>
      </rPr>
      <t>(4), 916-926.</t>
    </r>
  </si>
  <si>
    <r>
      <rPr>
        <sz val="10"/>
        <color rgb="FF222222"/>
        <rFont val="Arial"/>
      </rPr>
      <t>Ptak, M., Amnuaylojaroen, T., &amp; Sojka, M. (2024). Seven Decades of Surface Temperature Changes in Central European Lakes: What Is Next?. </t>
    </r>
    <r>
      <rPr>
        <i/>
        <sz val="10"/>
        <color rgb="FF222222"/>
        <rFont val="Arial"/>
      </rPr>
      <t>Resources</t>
    </r>
    <r>
      <rPr>
        <sz val="10"/>
        <color rgb="FF222222"/>
        <rFont val="Arial"/>
      </rPr>
      <t>, </t>
    </r>
    <r>
      <rPr>
        <i/>
        <sz val="10"/>
        <color rgb="FF222222"/>
        <rFont val="Arial"/>
      </rPr>
      <t>13</t>
    </r>
    <r>
      <rPr>
        <sz val="10"/>
        <color rgb="FF222222"/>
        <rFont val="Arial"/>
      </rPr>
      <t>(11), 149.</t>
    </r>
  </si>
  <si>
    <r>
      <rPr>
        <sz val="10"/>
        <color rgb="FF222222"/>
        <rFont val="Arial"/>
      </rPr>
      <t>Woolway, R. I., Carrea, L., Merchant, C. J., Dokulil, M. T., de Eyto, E., DeGasperi, C. L., ... &amp; Weyhenmeyer, G. A. (2018). Lake surface temperature [in “State of the Climate in 2017”]. </t>
    </r>
    <r>
      <rPr>
        <i/>
        <sz val="10"/>
        <color rgb="FF222222"/>
        <rFont val="Arial"/>
      </rPr>
      <t>Bulletin of the American Meteorological Society</t>
    </r>
    <r>
      <rPr>
        <sz val="10"/>
        <color rgb="FF222222"/>
        <rFont val="Arial"/>
      </rPr>
      <t>, </t>
    </r>
    <r>
      <rPr>
        <i/>
        <sz val="10"/>
        <color rgb="FF222222"/>
        <rFont val="Arial"/>
      </rPr>
      <t>99</t>
    </r>
    <r>
      <rPr>
        <sz val="10"/>
        <color rgb="FF222222"/>
        <rFont val="Arial"/>
      </rPr>
      <t>(8), S13-15.</t>
    </r>
  </si>
  <si>
    <r>
      <t>Toffolon, M., Yousefi, A., &amp; Piccolroaz, S. (2022). Estimation of the thermally reactive layer in lakes based on surface water temperature. </t>
    </r>
    <r>
      <rPr>
        <i/>
        <sz val="10"/>
        <color rgb="FF222222"/>
        <rFont val="Arial"/>
        <family val="2"/>
        <charset val="1"/>
      </rPr>
      <t>Water Resources Research</t>
    </r>
    <r>
      <rPr>
        <sz val="10"/>
        <color rgb="FF222222"/>
        <rFont val="Arial"/>
        <family val="2"/>
        <charset val="1"/>
      </rPr>
      <t>, </t>
    </r>
    <r>
      <rPr>
        <i/>
        <sz val="10"/>
        <color rgb="FF222222"/>
        <rFont val="Arial"/>
        <family val="2"/>
        <charset val="1"/>
      </rPr>
      <t>58</t>
    </r>
    <r>
      <rPr>
        <sz val="10"/>
        <color rgb="FF222222"/>
        <rFont val="Arial"/>
        <family val="2"/>
        <charset val="1"/>
      </rPr>
      <t>(6), e2021WR031755.</t>
    </r>
  </si>
  <si>
    <r>
      <t>Tang, L., Yang, K., Shang, C., Peng, Z., &amp; Luo, Y. (2022). Spatial impact of urban expansion on lake surface water temperature based on the perspective of watershed scale. </t>
    </r>
    <r>
      <rPr>
        <i/>
        <sz val="10"/>
        <color rgb="FF222222"/>
        <rFont val="Arial"/>
        <family val="2"/>
        <charset val="1"/>
      </rPr>
      <t>Frontiers in Environmental Science</t>
    </r>
    <r>
      <rPr>
        <sz val="10"/>
        <color rgb="FF222222"/>
        <rFont val="Arial"/>
        <family val="2"/>
        <charset val="1"/>
      </rPr>
      <t>, </t>
    </r>
    <r>
      <rPr>
        <i/>
        <sz val="10"/>
        <color rgb="FF222222"/>
        <rFont val="Arial"/>
        <family val="2"/>
        <charset val="1"/>
      </rPr>
      <t>10</t>
    </r>
    <r>
      <rPr>
        <sz val="10"/>
        <color rgb="FF222222"/>
        <rFont val="Arial"/>
        <family val="2"/>
        <charset val="1"/>
      </rPr>
      <t>, 991502.</t>
    </r>
  </si>
  <si>
    <r>
      <t>Phillips, R. C., Saylor, J. R., Kaye, N. B., &amp; Gibert, J. M. (2016). A multi-lake study of seasonal variation in lake surface evaporation using MODIS satellite-derived surface temperature. </t>
    </r>
    <r>
      <rPr>
        <i/>
        <sz val="10"/>
        <color rgb="FF222222"/>
        <rFont val="Arial"/>
        <family val="2"/>
        <charset val="1"/>
      </rPr>
      <t>Limnology</t>
    </r>
    <r>
      <rPr>
        <sz val="10"/>
        <color rgb="FF222222"/>
        <rFont val="Arial"/>
        <family val="2"/>
        <charset val="1"/>
      </rPr>
      <t>, </t>
    </r>
    <r>
      <rPr>
        <i/>
        <sz val="10"/>
        <color rgb="FF222222"/>
        <rFont val="Arial"/>
        <family val="2"/>
        <charset val="1"/>
      </rPr>
      <t>17</t>
    </r>
    <r>
      <rPr>
        <sz val="10"/>
        <color rgb="FF222222"/>
        <rFont val="Arial"/>
        <family val="2"/>
        <charset val="1"/>
      </rPr>
      <t>(3), 273-289.</t>
    </r>
  </si>
  <si>
    <r>
      <rPr>
        <sz val="10"/>
        <color rgb="FF222222"/>
        <rFont val="Arial"/>
      </rPr>
      <t>Noori, R., Woolway, R. I., Jun, C., Bateni, S. M., Naderian, D., Partani, S., ... &amp; Pulkkanen, M. (2023). Multi-decadal change in summer mean water temperature in Lake Konnevesi, Finland (1984–2021). </t>
    </r>
    <r>
      <rPr>
        <i/>
        <sz val="10"/>
        <color rgb="FF222222"/>
        <rFont val="Arial"/>
      </rPr>
      <t>Ecological Informatics</t>
    </r>
    <r>
      <rPr>
        <sz val="10"/>
        <color rgb="FF222222"/>
        <rFont val="Arial"/>
      </rPr>
      <t>, </t>
    </r>
    <r>
      <rPr>
        <i/>
        <sz val="10"/>
        <color rgb="FF222222"/>
        <rFont val="Arial"/>
      </rPr>
      <t>78</t>
    </r>
    <r>
      <rPr>
        <sz val="10"/>
        <color rgb="FF222222"/>
        <rFont val="Arial"/>
      </rPr>
      <t>, 102331.</t>
    </r>
  </si>
  <si>
    <r>
      <t>Fichot, C. G., Matsumoto, K., Holt, B., Gierach, M. M., &amp; Tokos, K. S. (2019). Assessing change in the overturning behavior of the Laurentian Great Lakes using remotely sensed lake surface water temperatures. </t>
    </r>
    <r>
      <rPr>
        <i/>
        <sz val="10"/>
        <color rgb="FF222222"/>
        <rFont val="Arial"/>
        <family val="2"/>
        <charset val="1"/>
      </rPr>
      <t>Remote Sensing of Environment</t>
    </r>
    <r>
      <rPr>
        <sz val="10"/>
        <color rgb="FF222222"/>
        <rFont val="Arial"/>
        <family val="2"/>
        <charset val="1"/>
      </rPr>
      <t>, </t>
    </r>
    <r>
      <rPr>
        <i/>
        <sz val="10"/>
        <color rgb="FF222222"/>
        <rFont val="Arial"/>
        <family val="2"/>
        <charset val="1"/>
      </rPr>
      <t>235</t>
    </r>
    <r>
      <rPr>
        <sz val="10"/>
        <color rgb="FF222222"/>
        <rFont val="Arial"/>
        <family val="2"/>
        <charset val="1"/>
      </rPr>
      <t>, 111427.</t>
    </r>
  </si>
  <si>
    <r>
      <t>Yu, Z., Yang, K., Luo, Y., Wang, P., &amp; Yang, Z. (2021). Research on the lake surface water temperature downscaling based on deep learning. </t>
    </r>
    <r>
      <rPr>
        <i/>
        <sz val="10"/>
        <color rgb="FF222222"/>
        <rFont val="Arial"/>
        <family val="2"/>
        <charset val="1"/>
      </rPr>
      <t>IEEE Journal of Selected Topics in Applied Earth Observations and Remote Sensing</t>
    </r>
    <r>
      <rPr>
        <sz val="10"/>
        <color rgb="FF222222"/>
        <rFont val="Arial"/>
        <family val="2"/>
        <charset val="1"/>
      </rPr>
      <t>, </t>
    </r>
    <r>
      <rPr>
        <i/>
        <sz val="10"/>
        <color rgb="FF222222"/>
        <rFont val="Arial"/>
        <family val="2"/>
        <charset val="1"/>
      </rPr>
      <t>14</t>
    </r>
    <r>
      <rPr>
        <sz val="10"/>
        <color rgb="FF222222"/>
        <rFont val="Arial"/>
        <family val="2"/>
        <charset val="1"/>
      </rPr>
      <t>, 5550-5558.</t>
    </r>
  </si>
  <si>
    <r>
      <rPr>
        <sz val="10"/>
        <color rgb="FF222222"/>
        <rFont val="Arial"/>
      </rPr>
      <t>Ptak, M., Sojka, M., Szyga-Pluta, K., Baloch, M. Y. J., &amp; Amnuaylojaroen, T. (2025). Is Everything Lost? Recreating the Surface Water Temperature of Unmonitored Lakes in Poland. </t>
    </r>
    <r>
      <rPr>
        <i/>
        <sz val="10"/>
        <color rgb="FF222222"/>
        <rFont val="Arial"/>
      </rPr>
      <t>Resources</t>
    </r>
    <r>
      <rPr>
        <sz val="10"/>
        <color rgb="FF222222"/>
        <rFont val="Arial"/>
      </rPr>
      <t>, </t>
    </r>
    <r>
      <rPr>
        <i/>
        <sz val="10"/>
        <color rgb="FF222222"/>
        <rFont val="Arial"/>
      </rPr>
      <t>14</t>
    </r>
    <r>
      <rPr>
        <sz val="10"/>
        <color rgb="FF222222"/>
        <rFont val="Arial"/>
      </rPr>
      <t>(4), 67.</t>
    </r>
  </si>
  <si>
    <r>
      <rPr>
        <sz val="10"/>
        <color rgb="FF222222"/>
        <rFont val="Arial"/>
      </rPr>
      <t>Bachmann, R. W. (2025). Climate Change for Lakes in the Coterminous United States in Relation to Lake Warming from 1981 to 2023. </t>
    </r>
    <r>
      <rPr>
        <i/>
        <sz val="10"/>
        <color rgb="FF222222"/>
        <rFont val="Arial"/>
      </rPr>
      <t>Water</t>
    </r>
    <r>
      <rPr>
        <sz val="10"/>
        <color rgb="FF222222"/>
        <rFont val="Arial"/>
      </rPr>
      <t>, </t>
    </r>
    <r>
      <rPr>
        <i/>
        <sz val="10"/>
        <color rgb="FF222222"/>
        <rFont val="Arial"/>
      </rPr>
      <t>17</t>
    </r>
    <r>
      <rPr>
        <sz val="10"/>
        <color rgb="FF222222"/>
        <rFont val="Arial"/>
      </rPr>
      <t>(14), 2138.</t>
    </r>
  </si>
  <si>
    <r>
      <rPr>
        <sz val="10"/>
        <color rgb="FF222222"/>
        <rFont val="Arial"/>
      </rPr>
      <t>Wan, W., Li, H., Xie, H., Hong, Y., Long, D., Zhao, L., ... &amp; Yang, W. (2017). A comprehensive data set of lake surface water temperature over the Tibetan Plateau derived from MODIS LST products 2001–2015. </t>
    </r>
    <r>
      <rPr>
        <i/>
        <sz val="10"/>
        <color rgb="FF222222"/>
        <rFont val="Arial"/>
      </rPr>
      <t>Scientific Data</t>
    </r>
    <r>
      <rPr>
        <sz val="10"/>
        <color rgb="FF222222"/>
        <rFont val="Arial"/>
      </rPr>
      <t>, </t>
    </r>
    <r>
      <rPr>
        <i/>
        <sz val="10"/>
        <color rgb="FF222222"/>
        <rFont val="Arial"/>
      </rPr>
      <t>4</t>
    </r>
    <r>
      <rPr>
        <sz val="10"/>
        <color rgb="FF222222"/>
        <rFont val="Arial"/>
      </rPr>
      <t>(1), 1-10.</t>
    </r>
  </si>
  <si>
    <t>Double ups</t>
  </si>
  <si>
    <t>Not reviewed previously</t>
  </si>
  <si>
    <t>Note - Only difference beteen this and the one WW did is the (3) at the end after 17 e.g. 17(3), 273-289</t>
  </si>
  <si>
    <t>scopus</t>
  </si>
  <si>
    <t>done 29-Aug-2025</t>
  </si>
  <si>
    <r>
      <rPr>
        <sz val="10"/>
        <color rgb="FF222222"/>
        <rFont val="Arial"/>
      </rPr>
      <t>Duan, H., Shang, C., Yang, K., &amp; Luo, Y. (2022). Dynamic response of surface water temperature in Urban Lakes under different climate scenarios—a case study in dianchi Lake, China. </t>
    </r>
    <r>
      <rPr>
        <i/>
        <sz val="10"/>
        <color rgb="FF222222"/>
        <rFont val="Arial"/>
      </rPr>
      <t>International Journal of Environmental Research and Public Health</t>
    </r>
    <r>
      <rPr>
        <sz val="10"/>
        <color rgb="FF222222"/>
        <rFont val="Arial"/>
      </rPr>
      <t>, </t>
    </r>
    <r>
      <rPr>
        <i/>
        <sz val="10"/>
        <color rgb="FF222222"/>
        <rFont val="Arial"/>
      </rPr>
      <t>19</t>
    </r>
    <r>
      <rPr>
        <sz val="10"/>
        <color rgb="FF222222"/>
        <rFont val="Arial"/>
      </rPr>
      <t>(19), 12142.</t>
    </r>
  </si>
  <si>
    <r>
      <rPr>
        <sz val="10"/>
        <color rgb="FF222222"/>
        <rFont val="Arial"/>
      </rPr>
      <t>Toffolon, M., Yousefi, A., &amp; Piccolroaz, S. (2022). Estimation of the thermally reactive layer in lakes based on surface water temperature. </t>
    </r>
    <r>
      <rPr>
        <i/>
        <sz val="10"/>
        <color rgb="FF222222"/>
        <rFont val="Arial"/>
      </rPr>
      <t>Water Resources Research</t>
    </r>
    <r>
      <rPr>
        <sz val="10"/>
        <color rgb="FF222222"/>
        <rFont val="Arial"/>
      </rPr>
      <t>, </t>
    </r>
    <r>
      <rPr>
        <i/>
        <sz val="10"/>
        <color rgb="FF222222"/>
        <rFont val="Arial"/>
      </rPr>
      <t>58</t>
    </r>
    <r>
      <rPr>
        <sz val="10"/>
        <color rgb="FF222222"/>
        <rFont val="Arial"/>
      </rPr>
      <t>(6), e2021WR031755.</t>
    </r>
  </si>
  <si>
    <r>
      <t>Mushtaq, F., Ahmed, P., &amp; Nee Lala, M. G. (2021). Variability of lake surface water temperature: a case study during El Nino and La Nina events over the Himalayan lake region. </t>
    </r>
    <r>
      <rPr>
        <i/>
        <sz val="10"/>
        <color rgb="FF222222"/>
        <rFont val="Arial"/>
        <family val="2"/>
        <charset val="1"/>
      </rPr>
      <t>Physical Geography</t>
    </r>
    <r>
      <rPr>
        <sz val="10"/>
        <color rgb="FF222222"/>
        <rFont val="Arial"/>
        <family val="2"/>
        <charset val="1"/>
      </rPr>
      <t>, </t>
    </r>
    <r>
      <rPr>
        <i/>
        <sz val="10"/>
        <color rgb="FF222222"/>
        <rFont val="Arial"/>
        <family val="2"/>
        <charset val="1"/>
      </rPr>
      <t>42</t>
    </r>
    <r>
      <rPr>
        <sz val="10"/>
        <color rgb="FF222222"/>
        <rFont val="Arial"/>
        <family val="2"/>
        <charset val="1"/>
      </rPr>
      <t>(3), 240-264.</t>
    </r>
  </si>
  <si>
    <r>
      <rPr>
        <sz val="10"/>
        <color rgb="FF222222"/>
        <rFont val="Arial"/>
      </rPr>
      <t>Fichot, C. G., Matsumoto, K., Holt, B., Gierach, M. M., &amp; Tokos, K. S. (2019). Assessing change in the overturning behavior of the Laurentian Great Lakes using remotely sensed lake surface water temperatures. </t>
    </r>
    <r>
      <rPr>
        <i/>
        <sz val="10"/>
        <color rgb="FF222222"/>
        <rFont val="Arial"/>
      </rPr>
      <t>Remote Sensing of Environment</t>
    </r>
    <r>
      <rPr>
        <sz val="10"/>
        <color rgb="FF222222"/>
        <rFont val="Arial"/>
      </rPr>
      <t>, </t>
    </r>
    <r>
      <rPr>
        <i/>
        <sz val="10"/>
        <color rgb="FF222222"/>
        <rFont val="Arial"/>
      </rPr>
      <t>235</t>
    </r>
    <r>
      <rPr>
        <sz val="10"/>
        <color rgb="FF222222"/>
        <rFont val="Arial"/>
      </rPr>
      <t>, 111427.</t>
    </r>
  </si>
  <si>
    <t>Note 2021 not 2020 as stated in the main lit_results</t>
  </si>
  <si>
    <t>Litrature review</t>
  </si>
  <si>
    <t>Jia, T., Yang, K., Peng, Z., Tang, L., Duan, H., &amp; Luo, Y. (2022). Review on the change trend, attribution analysis, retrieval, simulation, and prediction of lake surface water temperature. IEEE Journal of Selected Topics in Applied Earth Observations and Remote Sensing, 15, 6324-6355.</t>
  </si>
  <si>
    <t>Jia et al. 2022</t>
  </si>
  <si>
    <t>litrature review</t>
  </si>
  <si>
    <r>
      <t>Yang, K., Yu, Z., &amp; Luo, Y. (2020). Analysis on driving factors of lake surface water temperature for major lakes in Yunnan-Guizhou Plateau. </t>
    </r>
    <r>
      <rPr>
        <i/>
        <sz val="11"/>
        <rFont val="Aptos Narrow"/>
        <family val="2"/>
        <scheme val="minor"/>
      </rPr>
      <t>Water Research</t>
    </r>
    <r>
      <rPr>
        <sz val="11"/>
        <rFont val="Aptos Narrow"/>
        <family val="2"/>
        <scheme val="minor"/>
      </rPr>
      <t>, </t>
    </r>
    <r>
      <rPr>
        <i/>
        <sz val="11"/>
        <rFont val="Aptos Narrow"/>
        <family val="2"/>
        <scheme val="minor"/>
      </rPr>
      <t>184</t>
    </r>
    <r>
      <rPr>
        <sz val="11"/>
        <rFont val="Aptos Narrow"/>
        <family val="2"/>
        <scheme val="minor"/>
      </rPr>
      <t>, 116018.</t>
    </r>
  </si>
  <si>
    <t>Shi, Y., Huang, A., Wu, Y., Lazhu, &amp; Wen, L. (2024). Trends of Summer Lake Surface Water Temperature on the Tibetan Plateau and Their Response to Climate Change. Earth and Space Science, 11(12), e2024EA003910.</t>
  </si>
  <si>
    <r>
      <rPr>
        <sz val="11"/>
        <color rgb="FF000000"/>
        <rFont val="Aptos Narrow"/>
        <family val="2"/>
        <scheme val="minor"/>
      </rPr>
      <t>Duan, H., Shang, C., Yang, K., &amp; Luo, Y. (2022). Dynamic response of surface water temperature in Urban Lakes under different climate scenarios—a case study in dianchi Lake, China. </t>
    </r>
    <r>
      <rPr>
        <i/>
        <sz val="11"/>
        <color rgb="FF000000"/>
        <rFont val="Aptos Narrow"/>
        <family val="2"/>
        <scheme val="minor"/>
      </rPr>
      <t>International Journal of Environmental Research and Public Health</t>
    </r>
    <r>
      <rPr>
        <sz val="11"/>
        <color rgb="FF000000"/>
        <rFont val="Aptos Narrow"/>
        <family val="2"/>
        <scheme val="minor"/>
      </rPr>
      <t>, </t>
    </r>
    <r>
      <rPr>
        <i/>
        <sz val="11"/>
        <color rgb="FF000000"/>
        <rFont val="Aptos Narrow"/>
        <family val="2"/>
        <scheme val="minor"/>
      </rPr>
      <t>19</t>
    </r>
    <r>
      <rPr>
        <sz val="11"/>
        <color rgb="FF000000"/>
        <rFont val="Aptos Narrow"/>
        <family val="2"/>
        <scheme val="minor"/>
      </rPr>
      <t>(19), 12142.</t>
    </r>
  </si>
  <si>
    <r>
      <t>Yu, Z., Yang, K., Luo, Y., Shang, C., &amp; Zhu, Y. (2020). Lake surface water temperature prediction and changing characteristics analysis-A case study of 11 natural lakes in Yunnan-Guizhou Plateau. </t>
    </r>
    <r>
      <rPr>
        <i/>
        <sz val="11"/>
        <rFont val="Aptos Narrow"/>
        <family val="2"/>
        <scheme val="minor"/>
      </rPr>
      <t>Journal of Cleaner Production</t>
    </r>
    <r>
      <rPr>
        <sz val="11"/>
        <rFont val="Aptos Narrow"/>
        <family val="2"/>
        <scheme val="minor"/>
      </rPr>
      <t>, </t>
    </r>
    <r>
      <rPr>
        <i/>
        <sz val="11"/>
        <rFont val="Aptos Narrow"/>
        <family val="2"/>
        <scheme val="minor"/>
      </rPr>
      <t>276</t>
    </r>
    <r>
      <rPr>
        <sz val="11"/>
        <rFont val="Aptos Narrow"/>
        <family val="2"/>
        <scheme val="minor"/>
      </rPr>
      <t>, 122689.</t>
    </r>
  </si>
  <si>
    <t>sallite and in situ</t>
  </si>
  <si>
    <r>
      <t>Zhao, Y., Yang, K., Luo, Y., &amp; Yu, Z. (2022). Spatial–temporal characteristics of surface thermal environment and its effect on Lake surface water temperature in Dianchi Lake basin. </t>
    </r>
    <r>
      <rPr>
        <i/>
        <sz val="11"/>
        <rFont val="Aptos Narrow"/>
        <family val="2"/>
        <scheme val="minor"/>
      </rPr>
      <t>Frontiers in Ecology and Evolution</t>
    </r>
    <r>
      <rPr>
        <sz val="11"/>
        <rFont val="Aptos Narrow"/>
        <family val="2"/>
        <scheme val="minor"/>
      </rPr>
      <t>, </t>
    </r>
    <r>
      <rPr>
        <i/>
        <sz val="11"/>
        <rFont val="Aptos Narrow"/>
        <family val="2"/>
        <scheme val="minor"/>
      </rPr>
      <t>10</t>
    </r>
    <r>
      <rPr>
        <sz val="11"/>
        <rFont val="Aptos Narrow"/>
        <family val="2"/>
        <scheme val="minor"/>
      </rPr>
      <t>, 984692.</t>
    </r>
  </si>
  <si>
    <r>
      <t>Xie, C., Zhang, X., Zhuang, L., Zhu, R., &amp; Guo, J. (2022). Analysis of surface temperature variation of lakes in China using MODIS land surface temperature data. </t>
    </r>
    <r>
      <rPr>
        <i/>
        <sz val="11"/>
        <rFont val="Aptos Narrow"/>
        <family val="2"/>
        <scheme val="minor"/>
      </rPr>
      <t>Scientific Reports</t>
    </r>
    <r>
      <rPr>
        <sz val="11"/>
        <rFont val="Aptos Narrow"/>
        <family val="2"/>
        <scheme val="minor"/>
      </rPr>
      <t>, </t>
    </r>
    <r>
      <rPr>
        <i/>
        <sz val="11"/>
        <rFont val="Aptos Narrow"/>
        <family val="2"/>
        <scheme val="minor"/>
      </rPr>
      <t>12</t>
    </r>
    <r>
      <rPr>
        <sz val="11"/>
        <rFont val="Aptos Narrow"/>
        <family val="2"/>
        <scheme val="minor"/>
      </rPr>
      <t>(1), 2415.</t>
    </r>
  </si>
  <si>
    <r>
      <t>Dokulil, M. T., de Eyto, E., Maberly, S. C., May, L., Weyhenmeyer, G. A., &amp; Woolway, R. I. (2021). Increasing maximum lake surface temperature under climate change. </t>
    </r>
    <r>
      <rPr>
        <i/>
        <sz val="11"/>
        <rFont val="Aptos Narrow"/>
        <family val="2"/>
        <scheme val="minor"/>
      </rPr>
      <t>Climatic Change</t>
    </r>
    <r>
      <rPr>
        <sz val="11"/>
        <rFont val="Aptos Narrow"/>
        <family val="2"/>
        <scheme val="minor"/>
      </rPr>
      <t>, </t>
    </r>
    <r>
      <rPr>
        <i/>
        <sz val="11"/>
        <rFont val="Aptos Narrow"/>
        <family val="2"/>
        <scheme val="minor"/>
      </rPr>
      <t>165</t>
    </r>
    <r>
      <rPr>
        <sz val="11"/>
        <rFont val="Aptos Narrow"/>
        <family val="2"/>
        <scheme val="minor"/>
      </rPr>
      <t>(3), 56.</t>
    </r>
  </si>
  <si>
    <t>Dokulil et al. 2024</t>
  </si>
  <si>
    <t xml:space="preserve">Comparison to in situ observations from several lakes yields satellite in situ differences of −0.2 ± 0.7 K for daytime and −0.1 ± 0.5 K for nighttime observations (mean ± standard deviation). </t>
  </si>
  <si>
    <t>ATSR, in situ</t>
  </si>
  <si>
    <r>
      <t>MacCallum, S. N., &amp; Merchant, C. J. (2012). Surface water temperature observations of large lakes by optimal estimation. </t>
    </r>
    <r>
      <rPr>
        <i/>
        <sz val="11"/>
        <rFont val="Aptos Narrow"/>
        <family val="2"/>
        <scheme val="minor"/>
      </rPr>
      <t>Canadian Journal of Remote Sensing</t>
    </r>
    <r>
      <rPr>
        <sz val="11"/>
        <rFont val="Aptos Narrow"/>
        <family val="2"/>
        <scheme val="minor"/>
      </rPr>
      <t>, </t>
    </r>
    <r>
      <rPr>
        <i/>
        <sz val="11"/>
        <rFont val="Aptos Narrow"/>
        <family val="2"/>
        <scheme val="minor"/>
      </rPr>
      <t>38</t>
    </r>
    <r>
      <rPr>
        <sz val="11"/>
        <rFont val="Aptos Narrow"/>
        <family val="2"/>
        <scheme val="minor"/>
      </rPr>
      <t>(1), 25-45.</t>
    </r>
  </si>
  <si>
    <t>MacCallum &amp; Merchant 2012</t>
  </si>
  <si>
    <t>not use full</t>
  </si>
  <si>
    <t>Prats, J., Reynaud, N., Rebière, D., Peroux, T., Tormos, T., &amp; Danis, P. A. (2018). LakeSST: Lake Skin Surface Temperature in French inland water bodies for 1999–2016 from Landsat archives. Earth System Science Data, 10(2), 727-743.</t>
  </si>
  <si>
    <t>Yang et al. 2017</t>
  </si>
  <si>
    <t>Using LSWT to predict water quality parameters change over 5 years</t>
  </si>
  <si>
    <t>2005 </t>
  </si>
  <si>
    <r>
      <t>Yang, K., Yu, Z., Luo, Y., Yang, Y., Zhao, L., &amp; Zhou, X. (2018). Spatial and temporal variations in the relationship between lake water surface temperatures and water quality-A case study of Dianchi Lake. </t>
    </r>
    <r>
      <rPr>
        <i/>
        <sz val="11"/>
        <color rgb="FFFF0000"/>
        <rFont val="Aptos Narrow"/>
        <family val="2"/>
        <scheme val="minor"/>
      </rPr>
      <t>Science of the total environment</t>
    </r>
    <r>
      <rPr>
        <sz val="11"/>
        <color rgb="FFFF0000"/>
        <rFont val="Aptos Narrow"/>
        <family val="2"/>
        <scheme val="minor"/>
      </rPr>
      <t>, </t>
    </r>
    <r>
      <rPr>
        <i/>
        <sz val="11"/>
        <color rgb="FFFF0000"/>
        <rFont val="Aptos Narrow"/>
        <family val="2"/>
        <scheme val="minor"/>
      </rPr>
      <t>624</t>
    </r>
    <r>
      <rPr>
        <sz val="11"/>
        <color rgb="FFFF0000"/>
        <rFont val="Aptos Narrow"/>
        <family val="2"/>
        <scheme val="minor"/>
      </rPr>
      <t>, 859-871.</t>
    </r>
  </si>
  <si>
    <t>Yang et al. 2018</t>
  </si>
  <si>
    <t>https://www-sciencedirect-com.ezproxy.waikato.ac.nz/science/article/pii/S0048969717335453</t>
  </si>
  <si>
    <t>Region</t>
  </si>
  <si>
    <t>Scopus / google scoolar</t>
  </si>
  <si>
    <t>Yang et al. 2019</t>
  </si>
  <si>
    <t>urban lakes warm faster</t>
  </si>
  <si>
    <t>https://agupubs.onlinelibrary.wiley.com/doi/full/10.1029/2019WR025316</t>
  </si>
  <si>
    <r>
      <t>Yang, K., Zhang, Y., Luo, Y., &amp; Shang, C. (2021). Precipitation events impact on urban lake surface water temperature under the perspective of macroscopic scale. </t>
    </r>
    <r>
      <rPr>
        <i/>
        <sz val="11"/>
        <color rgb="FFFF0000"/>
        <rFont val="Aptos Narrow"/>
        <family val="2"/>
        <scheme val="minor"/>
      </rPr>
      <t>Environmental Science and Pollution Research</t>
    </r>
    <r>
      <rPr>
        <sz val="11"/>
        <color rgb="FFFF0000"/>
        <rFont val="Aptos Narrow"/>
        <family val="2"/>
        <scheme val="minor"/>
      </rPr>
      <t>, </t>
    </r>
    <r>
      <rPr>
        <i/>
        <sz val="11"/>
        <color rgb="FFFF0000"/>
        <rFont val="Aptos Narrow"/>
        <family val="2"/>
        <scheme val="minor"/>
      </rPr>
      <t>28</t>
    </r>
    <r>
      <rPr>
        <sz val="11"/>
        <color rgb="FFFF0000"/>
        <rFont val="Aptos Narrow"/>
        <family val="2"/>
        <scheme val="minor"/>
      </rPr>
      <t>, 16767-16780.</t>
    </r>
  </si>
  <si>
    <t>Pyrenean lakes</t>
  </si>
  <si>
    <t>In situ, Landsat 5, 7 and 8/9 data</t>
  </si>
  <si>
    <r>
      <t>Jungkeit-Milla, K., Pérez-Cabello, F., de Vera-García, A. V., Galofré, M., &amp; Valero-Garcés, B. (2024). Lake Surface Water Temperature in high altitude lakes in the Pyrenees: Combining satellite with monitoring data to assess recent trends. </t>
    </r>
    <r>
      <rPr>
        <i/>
        <sz val="11"/>
        <color rgb="FFFF0000"/>
        <rFont val="Aptos Narrow"/>
        <family val="2"/>
        <scheme val="minor"/>
      </rPr>
      <t>Science of the Total Environment</t>
    </r>
    <r>
      <rPr>
        <sz val="11"/>
        <color rgb="FFFF0000"/>
        <rFont val="Aptos Narrow"/>
        <family val="2"/>
        <scheme val="minor"/>
      </rPr>
      <t>, </t>
    </r>
    <r>
      <rPr>
        <i/>
        <sz val="11"/>
        <color rgb="FFFF0000"/>
        <rFont val="Aptos Narrow"/>
        <family val="2"/>
        <scheme val="minor"/>
      </rPr>
      <t>933</t>
    </r>
    <r>
      <rPr>
        <sz val="11"/>
        <color rgb="FFFF0000"/>
        <rFont val="Aptos Narrow"/>
        <family val="2"/>
        <scheme val="minor"/>
      </rPr>
      <t>, 173181.</t>
    </r>
  </si>
  <si>
    <t>Jungkeit-Milla et al. 2024</t>
  </si>
  <si>
    <t>compairing in situ with satalite data</t>
  </si>
  <si>
    <t>https://www.scopus.com/inward/record.uri?eid=2-s2.0-85192690281&amp;doi=10.1016%2fj.scitotenv.2024.173181&amp;partnerID=40&amp;md5=f096464d95761a0615617b8c67dc0b35</t>
  </si>
  <si>
    <t>Qinghai-Tibet Plateau</t>
  </si>
  <si>
    <t>Yao, T., Lu, H., Yu, Q., Feng, W., Xue, Y., Feng, S., &amp; Xiao, S. (2022). Temporal and spatial heterogeneity of recent lake surface water temperature trends in the Qinghai-Tibet Plateau. Geocarto International, 37(25), 9002-9020.</t>
  </si>
  <si>
    <t>Yao et al. 2022</t>
  </si>
  <si>
    <t>Geocarto International</t>
  </si>
  <si>
    <t>https://www.scopus.com/inward/record.uri?eid=2-s2.0-85120044142&amp;doi=10.1080%2f10106049.2021.2009043&amp;partnerID=40&amp;md5=f8d1fbd5f6d2bac19b89c6b8b786c34a</t>
  </si>
  <si>
    <t>Fichot, C. G., Matsumoto, K., Holt, B., Gierach, M. M., &amp; Tokos, K. S. (2019). Assessing change in the overturning behavior of the Laurentian Great Lakes using remotely sensed lake surface water temperatures. Remote Sensing of Environment, 235, 111427.</t>
  </si>
  <si>
    <t>Fichot et al. 2019</t>
  </si>
  <si>
    <t>Remote Sensing of Environment</t>
  </si>
  <si>
    <t>assed turn over</t>
  </si>
  <si>
    <t>https://www.scopus.com/inward/record.uri?eid=2-s2.0-85074000355&amp;doi=10.1016%2fj.rse.2019.111427&amp;partnerID=40&amp;md5=14efe98a3ec7490ab7cde3663757d2f4</t>
  </si>
  <si>
    <t>Vrana Lake</t>
  </si>
  <si>
    <t>2022, 2070</t>
  </si>
  <si>
    <r>
      <t>Brkić, Ž., &amp; Larva, O. (2024). Impact of climate change on the Vrana Lake surface water temperature in Croatia using support vector regression. </t>
    </r>
    <r>
      <rPr>
        <i/>
        <sz val="11"/>
        <color rgb="FFFF0000"/>
        <rFont val="Aptos Narrow"/>
        <family val="2"/>
        <scheme val="minor"/>
      </rPr>
      <t>Journal of Hydrology: Regional Studies</t>
    </r>
    <r>
      <rPr>
        <sz val="11"/>
        <color rgb="FFFF0000"/>
        <rFont val="Aptos Narrow"/>
        <family val="2"/>
        <scheme val="minor"/>
      </rPr>
      <t>, </t>
    </r>
    <r>
      <rPr>
        <i/>
        <sz val="11"/>
        <color rgb="FFFF0000"/>
        <rFont val="Aptos Narrow"/>
        <family val="2"/>
        <scheme val="minor"/>
      </rPr>
      <t>54</t>
    </r>
    <r>
      <rPr>
        <sz val="11"/>
        <color rgb="FFFF0000"/>
        <rFont val="Aptos Narrow"/>
        <family val="2"/>
        <scheme val="minor"/>
      </rPr>
      <t>, 101858.</t>
    </r>
  </si>
  <si>
    <t>Brkić &amp; Larva 2024</t>
  </si>
  <si>
    <t>https://www.scopus.com/inward/record.uri?eid=2-s2.0-85195363800&amp;doi=10.1016%2fj.ejrh.2024.101858&amp;partnerID=40&amp;md5=fd84412b51a96f1d9c49ad9ed7e9caca</t>
  </si>
  <si>
    <t xml:space="preserve">air2water model, ARC-Lake v3 dataset </t>
  </si>
  <si>
    <t>Piccolroaz, S., Woolway, R. I., &amp; Merchant, C. J. (2020). Global reconstruction of twentieth century lake surface water temperature reveals different warming trends depending on the climatic zone. Climatic Change, 160(3), 427-442.</t>
  </si>
  <si>
    <t>Piccolroaz et al. 2020</t>
  </si>
  <si>
    <t>https://www.scopus.com/inward/record.uri?eid=2-s2.0-85078451970&amp;doi=10.1007%2fs10584-020-02663-z&amp;partnerID=40&amp;md5=969c8f1c7a2a0d0529e684600e8fd872</t>
  </si>
  <si>
    <t>Li, D., Luo, Y., Yang, K., Shang, C., Zhu, S., Peng, S., ... &amp; Wei, H. (2024). Effects of climate change and urbanization on spatiotemporal variations of lake surface water temperature. IEEE Journal of Selected Topics in Applied Earth Observations and Remote Sensing.</t>
  </si>
  <si>
    <t>Li et al. 2024</t>
  </si>
  <si>
    <t>7 lakes show warming trent</t>
  </si>
  <si>
    <t>https://www.scopus.com/inward/record.uri?eid=2-s2.0-85208389720&amp;doi=10.1109%2fJSTARS.2024.3487623&amp;partnerID=40&amp;md5=87b7a072e861b8eb1ee63d9d7f220094</t>
  </si>
  <si>
    <t>Authors</t>
  </si>
  <si>
    <t>Author full names</t>
  </si>
  <si>
    <t>Author(s) ID</t>
  </si>
  <si>
    <t>Title</t>
  </si>
  <si>
    <t>Year</t>
  </si>
  <si>
    <t>Source</t>
  </si>
  <si>
    <t>Source title</t>
  </si>
  <si>
    <t>Link</t>
  </si>
  <si>
    <t>Search_terms</t>
  </si>
  <si>
    <t>Wang R.; Dong W.; Sun J.; Sojka M.; Ptak M.; Zhu S.</t>
  </si>
  <si>
    <t>Wang, Rui (59643593100); Dong, Wentao (59644705100); Sun, Jiang (58974546300); Sojka, Mariusz (23098121000); Ptak, Mariusz (55411364500); Zhu, Senlin (55235278900)</t>
  </si>
  <si>
    <t>59643593100; 59644705100; 58974546300; 23098121000; 55411364500; 55235278900</t>
  </si>
  <si>
    <t>Long-Term Trends of Lake Surface Water Temperatures in Lowland Polish Temperate Lakes</t>
  </si>
  <si>
    <r>
      <t>Wang, R., Dong, W., Sun, J., Sojka, M., Ptak, M., &amp; Zhu, S. (2025). Long-Term Trends of Lake Surface Water Temperatures in Lowland Polish Temperate Lakes. </t>
    </r>
    <r>
      <rPr>
        <i/>
        <sz val="10"/>
        <color rgb="FFFF0000"/>
        <rFont val="Arial"/>
        <family val="2"/>
      </rPr>
      <t>Atmosphere</t>
    </r>
    <r>
      <rPr>
        <sz val="10"/>
        <color rgb="FFFF0000"/>
        <rFont val="Arial"/>
        <family val="2"/>
      </rPr>
      <t>, </t>
    </r>
    <r>
      <rPr>
        <i/>
        <sz val="10"/>
        <color rgb="FFFF0000"/>
        <rFont val="Arial"/>
        <family val="2"/>
      </rPr>
      <t>16</t>
    </r>
    <r>
      <rPr>
        <sz val="10"/>
        <color rgb="FFFF0000"/>
        <rFont val="Arial"/>
        <family val="2"/>
      </rPr>
      <t>(2), 120.</t>
    </r>
  </si>
  <si>
    <t>https://www.scopus.com/inward/record.uri?eid=2-s2.0-85218633170&amp;doi=10.3390%2fatmos16020120&amp;partnerID=40&amp;md5=2a30a2436c506fb9ca7ad4edbb144f92</t>
  </si>
  <si>
    <t>"lake surface water temperature"  "trend"</t>
  </si>
  <si>
    <t>Lieberherr G.; Wunderle S.</t>
  </si>
  <si>
    <t>Lieberherr, Gian (57190305422); Wunderle, Stefan (6602438071)</t>
  </si>
  <si>
    <t>57190305422; 6602438071</t>
  </si>
  <si>
    <t>Lake surface water temperature derived from 35 years of AVHRR sensor data for European lakes</t>
  </si>
  <si>
    <r>
      <t>Lieberherr, G., &amp; Wunderle, S. (2018). Lake surface water temperature derived from 35 years of AVHRR sensor data for European lakes. </t>
    </r>
    <r>
      <rPr>
        <i/>
        <sz val="10"/>
        <color rgb="FFFF0000"/>
        <rFont val="Arial"/>
        <family val="2"/>
      </rPr>
      <t>Remote sensing</t>
    </r>
    <r>
      <rPr>
        <sz val="10"/>
        <color rgb="FFFF0000"/>
        <rFont val="Arial"/>
        <family val="2"/>
      </rPr>
      <t>, </t>
    </r>
    <r>
      <rPr>
        <i/>
        <sz val="10"/>
        <color rgb="FFFF0000"/>
        <rFont val="Arial"/>
        <family val="2"/>
      </rPr>
      <t>10</t>
    </r>
    <r>
      <rPr>
        <sz val="10"/>
        <color rgb="FFFF0000"/>
        <rFont val="Arial"/>
        <family val="2"/>
      </rPr>
      <t>(7), 990.</t>
    </r>
  </si>
  <si>
    <t>https://www.scopus.com/inward/record.uri?eid=2-s2.0-85050499075&amp;doi=10.3390%2frs10070990&amp;partnerID=40&amp;md5=1ce179716219a3151c0359aef491a9af</t>
  </si>
  <si>
    <t>Yang K.; Yu Z.; Luo Y.; Shang C.; Yang Y.</t>
  </si>
  <si>
    <t>Yang, Kun (57205570364); Yu, Zhenyu (57192660625); Luo, Yi (55712582900); Shang, Chunxue (55486786700); Yang, Yang (57193219252)</t>
  </si>
  <si>
    <t>57205570364; 57192660625; 55712582900; 55486786700; 57193219252</t>
  </si>
  <si>
    <t>Lake surface water temperature prediction and visualization</t>
  </si>
  <si>
    <r>
      <t>杨昆, 喻臻钰, 罗毅, 商春雪, &amp; 杨扬. (2018). Lake surface water temperature prediction and visualization. </t>
    </r>
    <r>
      <rPr>
        <i/>
        <sz val="10"/>
        <color rgb="FF222222"/>
        <rFont val="Arial"/>
        <family val="2"/>
        <charset val="1"/>
      </rPr>
      <t>Chinese Journal of Scientific Instrument</t>
    </r>
    <r>
      <rPr>
        <sz val="10"/>
        <color rgb="FF222222"/>
        <rFont val="Arial"/>
        <family val="2"/>
        <charset val="1"/>
      </rPr>
      <t>, </t>
    </r>
    <r>
      <rPr>
        <i/>
        <sz val="10"/>
        <color rgb="FF222222"/>
        <rFont val="Arial"/>
        <family val="2"/>
        <charset val="1"/>
      </rPr>
      <t>38</t>
    </r>
    <r>
      <rPr>
        <sz val="10"/>
        <color rgb="FF222222"/>
        <rFont val="Arial"/>
        <family val="2"/>
        <charset val="1"/>
      </rPr>
      <t>(12), 3090-3099.</t>
    </r>
  </si>
  <si>
    <t>https://www.scopus.com/inward/record.uri?eid=2-s2.0-85045190239&amp;partnerID=40&amp;md5=f1d165d05195b3d6a0473c8d831ea502</t>
  </si>
  <si>
    <t>Yang J.; Yang K.; Zhang Y.; Luo Y.; Shang C.</t>
  </si>
  <si>
    <t>Yang, Jiaying (57222156016); Yang, Kun (57205570364); Zhang, Yueyue (57220594446); Luo, Yi (55712582900); Shang, Chunxue (55486786700)</t>
  </si>
  <si>
    <t>57222156016; 57205570364; 57220594446; 55712582900; 55486786700</t>
  </si>
  <si>
    <t>Maximum lake surface water temperatures changing characteristics under climate change</t>
  </si>
  <si>
    <r>
      <t>Yang, J., Yang, K., Zhang, Y., Luo, Y., &amp; Shang, C. (2022). Maximum lake surface water temperatures changing characteristics under climate change. </t>
    </r>
    <r>
      <rPr>
        <i/>
        <sz val="10"/>
        <color rgb="FFFF0000"/>
        <rFont val="Arial"/>
        <family val="2"/>
      </rPr>
      <t>Environmental Science and Pollution Research</t>
    </r>
    <r>
      <rPr>
        <sz val="10"/>
        <color rgb="FFFF0000"/>
        <rFont val="Arial"/>
        <family val="2"/>
      </rPr>
      <t>, </t>
    </r>
    <r>
      <rPr>
        <i/>
        <sz val="10"/>
        <color rgb="FFFF0000"/>
        <rFont val="Arial"/>
        <family val="2"/>
      </rPr>
      <t>29</t>
    </r>
    <r>
      <rPr>
        <sz val="10"/>
        <color rgb="FFFF0000"/>
        <rFont val="Arial"/>
        <family val="2"/>
      </rPr>
      <t>(2), 2547-2554.</t>
    </r>
  </si>
  <si>
    <t>https://www.scopus.com/inward/record.uri?eid=2-s2.0-85112046471&amp;doi=10.1007%2fs11356-021-15621-8&amp;partnerID=40&amp;md5=c340f464b96e11a339f458e77dd56ea1</t>
  </si>
  <si>
    <t>Yang K.; Yu Z.; Luo Y.</t>
  </si>
  <si>
    <t>Yang, Kun (57205570364); Yu, Zhenyu (57192660625); Luo, Yi (55712582900)</t>
  </si>
  <si>
    <t>57205570364; 57192660625; 55712582900</t>
  </si>
  <si>
    <t>Analysis on driving factors of lake surface water temperature for major lakes in Yunnan-Guizhou Plateau</t>
  </si>
  <si>
    <r>
      <t>Yang, K., Yu, Z., &amp; Luo, Y. (2020). Analysis on driving factors of lake surface water temperature for major lakes in Yunnan-Guizhou Plateau. </t>
    </r>
    <r>
      <rPr>
        <i/>
        <sz val="10"/>
        <color rgb="FFFF0000"/>
        <rFont val="Arial"/>
        <family val="2"/>
      </rPr>
      <t>Water Research</t>
    </r>
    <r>
      <rPr>
        <sz val="10"/>
        <color rgb="FFFF0000"/>
        <rFont val="Arial"/>
        <family val="2"/>
      </rPr>
      <t>, </t>
    </r>
    <r>
      <rPr>
        <i/>
        <sz val="10"/>
        <color rgb="FFFF0000"/>
        <rFont val="Arial"/>
        <family val="2"/>
      </rPr>
      <t>184</t>
    </r>
    <r>
      <rPr>
        <sz val="10"/>
        <color rgb="FFFF0000"/>
        <rFont val="Arial"/>
        <family val="2"/>
      </rPr>
      <t>, 116018.</t>
    </r>
  </si>
  <si>
    <t>https://www.scopus.com/inward/record.uri?eid=2-s2.0-85088538217&amp;doi=10.1016%2fj.watres.2020.116018&amp;partnerID=40&amp;md5=0f891df53b09429a1186e973b2ee2e18</t>
  </si>
  <si>
    <t>Yang K.; Yu Z.; Luo Y.; Zhou X.; Shang C.</t>
  </si>
  <si>
    <t>Yang, Kun (57205570364); Yu, Zhenyu (57192660625); Luo, Yi (55712582900); Zhou, Xiaolu (7410091284); Shang, Chunxue (55486786700)</t>
  </si>
  <si>
    <t>57205570364; 57192660625; 55712582900; 7410091284; 55486786700</t>
  </si>
  <si>
    <t>Spatial-Temporal Variation of Lake Surface Water Temperature and Its Driving Factors in Yunnan-Guizhou Plateau</t>
  </si>
  <si>
    <r>
      <t>Yang, K., Yu, Z., Luo, Y., Zhou, X., &amp; Shang, C. (2019). Spatial‐temporal variation of lake surface water temperature and its driving factors in Yunnan‐Guizhou Plateau. </t>
    </r>
    <r>
      <rPr>
        <i/>
        <sz val="10"/>
        <color rgb="FFFF0000"/>
        <rFont val="Arial"/>
        <family val="2"/>
      </rPr>
      <t>Water Resources Research</t>
    </r>
    <r>
      <rPr>
        <sz val="10"/>
        <color rgb="FFFF0000"/>
        <rFont val="Arial"/>
        <family val="2"/>
      </rPr>
      <t>, </t>
    </r>
    <r>
      <rPr>
        <i/>
        <sz val="10"/>
        <color rgb="FFFF0000"/>
        <rFont val="Arial"/>
        <family val="2"/>
      </rPr>
      <t>55</t>
    </r>
    <r>
      <rPr>
        <sz val="10"/>
        <color rgb="FFFF0000"/>
        <rFont val="Arial"/>
        <family val="2"/>
      </rPr>
      <t>(6), 4688-4703.</t>
    </r>
  </si>
  <si>
    <t>https://www.scopus.com/inward/record.uri?eid=2-s2.0-85066747865&amp;doi=10.1029%2f2019WR025316&amp;partnerID=40&amp;md5=f81b0b91290752ba9f5715771a30f1a8</t>
  </si>
  <si>
    <t>Peng Z.; Yang K.; Shang C.; Duan H.; Tang L.; Zhang Y.; Cao Y.; Luo Y.</t>
  </si>
  <si>
    <t>Peng, Zongqi (57222157940); Yang, Kun (57205570364); Shang, Chunxue (55486786700); Duan, Haimei (57686351800); Tang, Linfeng (57222542383); Zhang, Yang (57224621208); Cao, Yifan (57958051500); Luo, Yi (55712582900)</t>
  </si>
  <si>
    <t>57222157940; 57205570364; 55486786700; 57686351800; 57222542383; 57224621208; 57958051500; 55712582900</t>
  </si>
  <si>
    <t>Attribution analysis of lake surface water temperature changing —taking China's six main lakes as example</t>
  </si>
  <si>
    <r>
      <t>Peng, Z., Yang, K., Shang, C., Duan, H., Tang, L., Zhang, Y., ... &amp; Luo, Y. (2022). Attribution analysis of lake surface water temperature changing—taking China’s six main lakes as example. </t>
    </r>
    <r>
      <rPr>
        <i/>
        <sz val="10"/>
        <color rgb="FFFF0000"/>
        <rFont val="Arial"/>
        <family val="2"/>
      </rPr>
      <t>Ecological Indicators</t>
    </r>
    <r>
      <rPr>
        <sz val="10"/>
        <color rgb="FFFF0000"/>
        <rFont val="Arial"/>
        <family val="2"/>
      </rPr>
      <t>, </t>
    </r>
    <r>
      <rPr>
        <i/>
        <sz val="10"/>
        <color rgb="FFFF0000"/>
        <rFont val="Arial"/>
        <family val="2"/>
      </rPr>
      <t>145</t>
    </r>
    <r>
      <rPr>
        <sz val="10"/>
        <color rgb="FFFF0000"/>
        <rFont val="Arial"/>
        <family val="2"/>
      </rPr>
      <t>, 109651.</t>
    </r>
  </si>
  <si>
    <t>https://www.scopus.com/inward/record.uri?eid=2-s2.0-85141471309&amp;doi=10.1016%2fj.ecolind.2022.109651&amp;partnerID=40&amp;md5=0665d84109e2a3813c37a045327d87ce</t>
  </si>
  <si>
    <t>Jia T.; Yang K.; Peng Z.; Tang L.; Duan H.; Luo Y.</t>
  </si>
  <si>
    <t>Jia, Tingfang (57205415872); Yang, Kun (57205570364); Peng, ZongQi (57222157940); Tang, Linfeng (57222542383); Duan, Haimei (57686351800); Luo, Yi (55712582900)</t>
  </si>
  <si>
    <t>57205415872; 57205570364; 57222157940; 57222542383; 57686351800; 55712582900</t>
  </si>
  <si>
    <t>Review on the Change Trend, Attribution Analysis, Retrieval, Simulation, and Prediction of Lake Surface Water Temperature</t>
  </si>
  <si>
    <r>
      <t>Jia, T., Yang, K., Peng, Z., Tang, L., Duan, H., &amp; Luo, Y. (2022). Review on the change trend, attribution analysis, retrieval, simulation, and prediction of lake surface water temperature. </t>
    </r>
    <r>
      <rPr>
        <i/>
        <sz val="10"/>
        <color rgb="FFFF0000"/>
        <rFont val="Arial"/>
        <family val="2"/>
        <charset val="1"/>
      </rPr>
      <t>IEEE Journal of Selected Topics in Applied Earth Observations and Remote Sensing</t>
    </r>
    <r>
      <rPr>
        <sz val="10"/>
        <color rgb="FFFF0000"/>
        <rFont val="Arial"/>
        <family val="2"/>
        <charset val="1"/>
      </rPr>
      <t>, </t>
    </r>
    <r>
      <rPr>
        <i/>
        <sz val="10"/>
        <color rgb="FFFF0000"/>
        <rFont val="Arial"/>
        <family val="2"/>
        <charset val="1"/>
      </rPr>
      <t>15</t>
    </r>
    <r>
      <rPr>
        <sz val="10"/>
        <color rgb="FFFF0000"/>
        <rFont val="Arial"/>
        <family val="2"/>
        <charset val="1"/>
      </rPr>
      <t>, 6324-6355.</t>
    </r>
  </si>
  <si>
    <t>https://www.scopus.com/inward/record.uri?eid=2-s2.0-85135207465&amp;doi=10.1109%2fJSTARS.2022.3188788&amp;partnerID=40&amp;md5=fd6b81070840e4d042a942abd05f743b</t>
  </si>
  <si>
    <t>Shi Y.; Huang A.; Wu Y.; Lazhu; Wen L.</t>
  </si>
  <si>
    <t>Shi, Yi (57869508200); Huang, Anning (16312351300); Wu, Yang (57191258404); Lazhu (56412009100); Wen, Lijuan (14619964400)</t>
  </si>
  <si>
    <t>57869508200; 16312351300; 57191258404; 56412009100; 14619964400</t>
  </si>
  <si>
    <t>Trends of Summer Lake Surface Water Temperature on the Tibetan Plateau and Their Response to Climate Change</t>
  </si>
  <si>
    <r>
      <t>Shi, Y., Huang, A., Wu, Y., Lazhu, &amp; Wen, L. (2024). Trends of Summer Lake Surface Water Temperature on the Tibetan Plateau and Their Response to Climate Change. </t>
    </r>
    <r>
      <rPr>
        <i/>
        <sz val="10"/>
        <color rgb="FFFF0000"/>
        <rFont val="Arial"/>
        <family val="2"/>
      </rPr>
      <t>Earth and Space Science</t>
    </r>
    <r>
      <rPr>
        <sz val="10"/>
        <color rgb="FFFF0000"/>
        <rFont val="Arial"/>
        <family val="2"/>
      </rPr>
      <t>, </t>
    </r>
    <r>
      <rPr>
        <i/>
        <sz val="10"/>
        <color rgb="FFFF0000"/>
        <rFont val="Arial"/>
        <family val="2"/>
      </rPr>
      <t>11</t>
    </r>
    <r>
      <rPr>
        <sz val="10"/>
        <color rgb="FFFF0000"/>
        <rFont val="Arial"/>
        <family val="2"/>
      </rPr>
      <t>(12), e2024EA003910.</t>
    </r>
  </si>
  <si>
    <t>https://www.scopus.com/inward/record.uri?eid=2-s2.0-85212438854&amp;doi=10.1029%2f2024EA003910&amp;partnerID=40&amp;md5=78120febb4f41210128a891c4dc3effd</t>
  </si>
  <si>
    <t>Duan H.; Yang K.; Shang C.; Zhou X.; Luo Y.</t>
  </si>
  <si>
    <t>Duan, Haimei (57686351800); Yang, Kun (57205570364); Shang, Chunxue (55486786700); Zhou, Xiaolu (7410091284); Luo, Yi (55712582900)</t>
  </si>
  <si>
    <t>57686351800; 57205570364; 55486786700; 7410091284; 55712582900</t>
  </si>
  <si>
    <t>Anthropogenic impact of lake surface water temperature of lakes: A case study of eleven lakes on the yunnan-guizhou plateau</t>
  </si>
  <si>
    <t>https://www.scopus.com/inward/record.uri?eid=2-s2.0-85193902808&amp;doi=10.1016%2fj.ecolind.2024.112165&amp;partnerID=40&amp;md5=c243aa9785388bf08bf52be04de0f40f</t>
  </si>
  <si>
    <t>Jungkeit-Milla K.; Pérez-Cabello F.; de Vera-García A.V.; Galofré M.; Valero-Garcés B.</t>
  </si>
  <si>
    <t>Jungkeit-Milla, Kilian (58775553400); Pérez-Cabello, Fernando (6507227254); de Vera-García, Alejandra Vicente (58775487300); Galofré, Marcel (58291490200); Valero-Garcés, Blas (35514396600)</t>
  </si>
  <si>
    <t>58775553400; 6507227254; 58775487300; 58291490200; 35514396600</t>
  </si>
  <si>
    <t>Lake Surface Water Temperature in high altitude lakes in the Pyrenees: Combining satellite with monitoring data to assess recent trends</t>
  </si>
  <si>
    <r>
      <rPr>
        <sz val="10"/>
        <color rgb="FFFF0000"/>
        <rFont val="Arial"/>
        <family val="2"/>
      </rPr>
      <t>Jungkeit-Milla, K., Pérez-Cabello, F., de Vera-García, A. V., Galofré, M., &amp; Valero-Garcés, B. (2024). Lake Surface Water Temperature in high altitude lakes in the Pyrenees: Combining satellite with monitoring data to assess recent trends. </t>
    </r>
    <r>
      <rPr>
        <i/>
        <sz val="10"/>
        <color rgb="FFFF0000"/>
        <rFont val="Arial"/>
        <family val="2"/>
      </rPr>
      <t>Science of the Total Environment</t>
    </r>
    <r>
      <rPr>
        <sz val="10"/>
        <color rgb="FFFF0000"/>
        <rFont val="Arial"/>
        <family val="2"/>
      </rPr>
      <t>, </t>
    </r>
    <r>
      <rPr>
        <i/>
        <sz val="10"/>
        <color rgb="FFFF0000"/>
        <rFont val="Arial"/>
        <family val="2"/>
      </rPr>
      <t>933</t>
    </r>
    <r>
      <rPr>
        <sz val="10"/>
        <color rgb="FFFF0000"/>
        <rFont val="Arial"/>
        <family val="2"/>
      </rPr>
      <t>, 173181.</t>
    </r>
  </si>
  <si>
    <t>Yao T.; Lu H.; Yu Q.; Feng W.; Xue Y.; Feng S.; Xiao S.</t>
  </si>
  <si>
    <t>Yao, Tianci (57143540800); Lu, Hongwei (25937323000); Yu, Qing (57212683268); Feng, Wei (57212212857); Xue, Yuxuan (57200525857); Feng, Sansan (57211081305); Xiao, Shuai (57216783694)</t>
  </si>
  <si>
    <t>57143540800; 25937323000; 57212683268; 57212212857; 57200525857; 57211081305; 57216783694</t>
  </si>
  <si>
    <t>Temporal and spatial heterogeneity of recent lake surface water temperature trends in the Qinghai-Tibet Plateau</t>
  </si>
  <si>
    <t>Yao, T., Lu, H., Yu, Q., Feng, W., Xue, Y., Feng, S., &amp; Xiao, S.. (2021). Temporal and spatial heterogeneity of recent lake surface water temperature trends in the Qinghai-Tibet Plateau. Geocarto International, 37(25), 9002-9020. https://doi.org/10.1080/10106049.2021.2009043</t>
  </si>
  <si>
    <t>Fichot C.G.; Matsumoto K.; Holt B.; Gierach M.M.; Tokos K.S.</t>
  </si>
  <si>
    <t>Fichot, Cédric G. (23974577400); Matsumoto, Katsumi (55446458900); Holt, Benjamin (35594051500); Gierach, Michelle M. (21739229200); Tokos, Kathy S. (57211433702)</t>
  </si>
  <si>
    <t>23974577400; 55446458900; 35594051500; 21739229200; 57211433702</t>
  </si>
  <si>
    <t>Assessing change in the overturning behavior of the Laurentian Great Lakes using remotely sensed lake surface water temperatures</t>
  </si>
  <si>
    <t>Fichot, C. G., Matsumoto, K., Holt, B., Gierach, M. M., &amp; Tokos, K.. (2019). Assessing change in the overturning behavior of the Laurentian Great Lakes using remotely sensed lake surface water temperatures. Remote Sensing of Environment, 235, 111427-111427. https://doi.org/10.1016/j.rse.2019.111427</t>
  </si>
  <si>
    <t>Brkić Z.; Larva O.</t>
  </si>
  <si>
    <t>Brkić, Željka (6602522310); Larva, Ozren (12140227100)</t>
  </si>
  <si>
    <t>6602522310; 12140227100</t>
  </si>
  <si>
    <t>Impact of climate change on the Vrana Lake surface water temperature in Croatia using support vector regression</t>
  </si>
  <si>
    <r>
      <rPr>
        <sz val="10"/>
        <color rgb="FFFF0000"/>
        <rFont val="Arial"/>
        <family val="2"/>
      </rPr>
      <t>Brkić, Ž., &amp; Larva, O. (2024). Impact of climate change on the Vrana Lake surface water temperature in Croatia using support vector regression. </t>
    </r>
    <r>
      <rPr>
        <i/>
        <sz val="10"/>
        <color rgb="FFFF0000"/>
        <rFont val="Arial"/>
        <family val="2"/>
      </rPr>
      <t>Journal of Hydrology: Regional Studies</t>
    </r>
    <r>
      <rPr>
        <sz val="10"/>
        <color rgb="FFFF0000"/>
        <rFont val="Arial"/>
        <family val="2"/>
      </rPr>
      <t>, </t>
    </r>
    <r>
      <rPr>
        <i/>
        <sz val="10"/>
        <color rgb="FFFF0000"/>
        <rFont val="Arial"/>
        <family val="2"/>
      </rPr>
      <t>54</t>
    </r>
    <r>
      <rPr>
        <sz val="10"/>
        <color rgb="FFFF0000"/>
        <rFont val="Arial"/>
        <family val="2"/>
      </rPr>
      <t>, 101858.</t>
    </r>
  </si>
  <si>
    <t>Piccolroaz S.; Woolway R.I.; Merchant C.J.</t>
  </si>
  <si>
    <t>Piccolroaz, Sebastiano (55846056300); Woolway, R. Iestyn (56222251100); Merchant, Christopher J. (7004368198)</t>
  </si>
  <si>
    <t>55846056300; 56222251100; 7004368198</t>
  </si>
  <si>
    <t>Global reconstruction of twentieth century lake surface water temperature reveals different warming trends depending on the climatic zone</t>
  </si>
  <si>
    <t>Piccolroaz, S., Woolway, R. I., &amp; Merchant, C. J.. (2020). Global reconstruction of twentieth century lake surface water temperature reveals different warming trends depending on the climatic zone. Climatic Change, 160(3), 427-442. https://doi.org/10.1007/s10584-020-02663-z</t>
  </si>
  <si>
    <t>Yu Z.; Yang K.; Luo Y.; Wang P.; Yang Z.</t>
  </si>
  <si>
    <t>Yu, Zhenyu (57192660625); Yang, Kun (57205570364); Luo, Yi (55712582900); Wang, Pei (57216525166); Yang, Ze (57201366854)</t>
  </si>
  <si>
    <t>57192660625; 57205570364; 55712582900; 57216525166; 57201366854</t>
  </si>
  <si>
    <t>Research on the Lake Surface Water Temperature Downscaling Based on Deep Learning</t>
  </si>
  <si>
    <t>Yu, Z., Yang, K., Luo, Y., Wang, P., &amp; Yang, Z.. (2021). Research on the Lake Surface Water Temperature Downscaling Based on Deep Learning. IEEE Journal of Selected Topics in Applied Earth Observations and Remote Sensing, 14, 5550-5558. https://doi.org/10.1109/jstars.2021.3079357</t>
  </si>
  <si>
    <t>Li D.; Luo Y.; Yang K.; Shang C.; Zhu S.; Peng S.; Li A.; Chen R.; Peng Z.; Pei X.; Yin Y.; Wang Q.; Peng C.; Wei H.</t>
  </si>
  <si>
    <t>Li, Dingpu (58772775000); Luo, Yi (55712582900); Yang, Kun (57205570364); Shang, Chunxue (55486786700); Zhu, Senlin (55235278900); Peng, Shuangyun (36748934100); Li, Anlin (57226606052); Chen, Rixiang (58772961000); Peng, Zongqi (57222157940); Pei, Xingfang (58772772600); Yin, Yuanyuan (57564376000); Wang, Qingqing (58772379900); Peng, Changqing (58771994800); Wei, Hong (58608546200)</t>
  </si>
  <si>
    <t>58772775000; 55712582900; 57205570364; 55486786700; 55235278900; 36748934100; 57226606052; 58772961000; 57222157940; 58772772600; 57564376000; 58772379900; 58771994800; 58608546200</t>
  </si>
  <si>
    <t>Effects of Climate Change and Urbanization on Spatiotemporal Variations of Lake Surface Water Temperature</t>
  </si>
  <si>
    <t>Li, D., Luo, Y., Yang, K., Shang, C., Zhu, S., Peng, S., Li, A., Chen, R., Peng, Z., Pei, X., Yin, Y., Wang, Q., Peng, C., &amp; Hong, W.. (2024). Effects of climate change and urbanization on spatiotemporal variations of lake surface water temperature. IEEE Journal of Selected Topics in Applied Earth Observations and Remote Sensing, 1-12. https://doi.org/10.1109/jstars.2024.3487623</t>
  </si>
  <si>
    <t>Yu Z.; Yang K.; Luo Y.; Shang C.; Zhu Y.</t>
  </si>
  <si>
    <t>Yu, Zhenyu (57192660625); Yang, Kun (57205570364); Luo, Yi (55712582900); Shang, Chunxue (55486786700); Zhu, Yu (57218364601)</t>
  </si>
  <si>
    <t>57192660625; 57205570364; 55712582900; 55486786700; 57218364601</t>
  </si>
  <si>
    <t>Lake surface water temperature prediction and changing characteristics analysis - A case study of 11 natural lakes in Yunnan-Guizhou Plateau</t>
  </si>
  <si>
    <r>
      <t>Yu, Z., Yang, K., Luo, Y., Shang, C., &amp; Zhu, Y. (2020). Lake surface water temperature prediction and changing characteristics analysis-A case study of 11 natural lakes in Yunnan-Guizhou Plateau. </t>
    </r>
    <r>
      <rPr>
        <i/>
        <sz val="10"/>
        <color rgb="FFFF0000"/>
        <rFont val="Arial"/>
        <family val="2"/>
      </rPr>
      <t>Journal of Cleaner Production</t>
    </r>
    <r>
      <rPr>
        <sz val="10"/>
        <color rgb="FFFF0000"/>
        <rFont val="Arial"/>
        <family val="2"/>
      </rPr>
      <t>, </t>
    </r>
    <r>
      <rPr>
        <i/>
        <sz val="10"/>
        <color rgb="FFFF0000"/>
        <rFont val="Arial"/>
        <family val="2"/>
      </rPr>
      <t>276</t>
    </r>
    <r>
      <rPr>
        <sz val="10"/>
        <color rgb="FFFF0000"/>
        <rFont val="Arial"/>
        <family val="2"/>
      </rPr>
      <t>, 122689.</t>
    </r>
  </si>
  <si>
    <t>Huang L.; Wang X.; Yan Y.; Jin L.; Yang K.; Chen A.; Zheng R.; Ottlé C.; Wang C.; Cui Y.; Piao S.</t>
  </si>
  <si>
    <t>Huang, Ling (56716970000); Wang, Xuhui (56011580500); Yan, Yanzi (57202001983); Jin, Lei (57231202100); Yang, Kun (55235064100); Chen, Anping (57204495346); Zheng, Rongshun (58685059300); Ottlé, Catherine (7003355588); Wang, Chenzhi (57192604115); Cui, Yaokui (35344501200); Piao, Shilong (6701581547)</t>
  </si>
  <si>
    <t>56716970000; 56011580500; 57202001983; 57231202100; 55235064100; 57204495346; 58685059300; 7003355588; 57192604115; 35344501200; 6701581547</t>
  </si>
  <si>
    <t>Attribution of Lake Surface Water Temperature Change in Large Lakes Across China Over Past Four Decades</t>
  </si>
  <si>
    <r>
      <t>Huang, L., Wang, X., Yan, Y., Jin, L., Yang, K., Chen, A., ... &amp; Piao, S. (2023). Attribution of lake surface water temperature change in large lakes across China over past four decades. </t>
    </r>
    <r>
      <rPr>
        <i/>
        <sz val="10"/>
        <color rgb="FFFF0000"/>
        <rFont val="Arial"/>
        <family val="2"/>
      </rPr>
      <t>Journal of Geophysical Research: Atmospheres</t>
    </r>
    <r>
      <rPr>
        <sz val="10"/>
        <color rgb="FFFF0000"/>
        <rFont val="Arial"/>
        <family val="2"/>
      </rPr>
      <t>, </t>
    </r>
    <r>
      <rPr>
        <i/>
        <sz val="10"/>
        <color rgb="FFFF0000"/>
        <rFont val="Arial"/>
        <family val="2"/>
      </rPr>
      <t>128</t>
    </r>
    <r>
      <rPr>
        <sz val="10"/>
        <color rgb="FFFF0000"/>
        <rFont val="Arial"/>
        <family val="2"/>
      </rPr>
      <t>(21), e2022JD038465.</t>
    </r>
  </si>
  <si>
    <t>https://www.scopus.com/inward/record.uri?eid=2-s2.0-85175969121&amp;doi=10.1029%2f2022JD038465&amp;partnerID=40&amp;md5=0cdbccfbe65f9821ab24ae256f80561c</t>
  </si>
  <si>
    <t>Bayable G.; Cai J.; Mekonnen M.; Legesse S.A.; Ishikawa K.; Sato S.; Kuwahara V.S.</t>
  </si>
  <si>
    <t>Bayable, Getachew (57222470535); Cai, Ji (57219090890); Mekonnen, Mulatie (56418134000); Legesse, Solomon Addisu (57208014706); Ishikawa, Kanako (7404555641); Sato, Shinjiro (56311407300); Kuwahara, Victor S. (6508243835)</t>
  </si>
  <si>
    <t>57222470535; 57219090890; 56418134000; 57208014706; 7404555641; 56311407300; 6508243835</t>
  </si>
  <si>
    <t>Spatiotemporal variability of lake surface water temperature and water quality parameters and its interrelationship with water hyacinth biomass in Lake Tana, Ethiopia</t>
  </si>
  <si>
    <t>Bayable, G., Cai, J. F., Mekonnen, M., Addisu, S., Ishikawa, K., Sato, S., &amp; Kuwahara, V. S.. (2024). Spatiotemporal variability of lake surface water temperature and water quality parameters and its interrelationship with water hyacinth biomass in Lake Tana, Ethiopia. Environmental Science and Pollution Research, 31(33), 45929-45953. https://doi.org/10.1007/s11356-024-34212-x</t>
  </si>
  <si>
    <t>Zhao Y.; Yang K.; Luo Y.; Yu Z.</t>
  </si>
  <si>
    <t>Zhao, Yisong (57202417326); Yang, Kun (57205570364); Luo, Yi (55712582900); Yu, Zhenyu (57192660625)</t>
  </si>
  <si>
    <t>57202417326; 57205570364; 55712582900; 57192660625</t>
  </si>
  <si>
    <t>Spatial–temporal characteristics of surface thermal environment and its effect on Lake surface water temperature in Dianchi Lake basin</t>
  </si>
  <si>
    <r>
      <t>Zhao, Y., Yang, K., Luo, Y., &amp; Yu, Z. (2022). Spatial–temporal characteristics of surface thermal environment and its effect on Lake surface water temperature in Dianchi Lake basin. </t>
    </r>
    <r>
      <rPr>
        <i/>
        <sz val="10"/>
        <color rgb="FFFF0000"/>
        <rFont val="Arial"/>
        <family val="2"/>
      </rPr>
      <t>Frontiers in Ecology and Evolution</t>
    </r>
    <r>
      <rPr>
        <sz val="10"/>
        <color rgb="FFFF0000"/>
        <rFont val="Arial"/>
        <family val="2"/>
      </rPr>
      <t>, </t>
    </r>
    <r>
      <rPr>
        <i/>
        <sz val="10"/>
        <color rgb="FFFF0000"/>
        <rFont val="Arial"/>
        <family val="2"/>
      </rPr>
      <t>10</t>
    </r>
    <r>
      <rPr>
        <sz val="10"/>
        <color rgb="FFFF0000"/>
        <rFont val="Arial"/>
        <family val="2"/>
      </rPr>
      <t>, 984692.</t>
    </r>
  </si>
  <si>
    <t>Herrick C.; Steele B.G.; Brentrup J.A.; Cottingham K.L.; Ducey M.J.; Lutz D.A.; Palace M.W.; Thompson M.C.; Trout-Haney J.V.; Weathers K.C.</t>
  </si>
  <si>
    <t>Herrick, C. (56562681400); Steele, B.G. (57191036856); Brentrup, J.A. (55856103900); Cottingham, K.L. (57207605233); Ducey, M.J. (7006125701); Lutz, D.A. (36932140400); Palace, M.W. (6506443781); Thompson, M.C. (58085086200); Trout-Haney, J.V. (57191041142); Weathers, K.C. (7003465317)</t>
  </si>
  <si>
    <t>56562681400; 57191036856; 55856103900; 57207605233; 7006125701; 36932140400; 6506443781; 58085086200; 57191041142; 7003465317</t>
  </si>
  <si>
    <t>Herrick, C., Steele, B. G., Brentrup, J. A., Cottingham, K. L., Ducey, M. J., Lutz, D. A., ... &amp; Weathers, K. C. (2023). lakeCoSTR: A tool to facilitate use of Landsat Collection 2 to estimate lake surface water temperatures. Ecosphere, 14(1), e4357.</t>
  </si>
  <si>
    <t>https://www.scopus.com/inward/record.uri?eid=2-s2.0-85147167522&amp;doi=10.1002%2fecs2.4357&amp;partnerID=40&amp;md5=1ab9c035f94a4e61072efc048643d22f</t>
  </si>
  <si>
    <t>Wang X.; Shi K.; Qin B.; Zhang Y.; Woolway R.I.</t>
  </si>
  <si>
    <t>Wang, Xiwen (58093841100); Shi, Kun (35081155100); Qin, Boqiang (7102846048); Zhang, Yunlin (8852760500); Woolway, R. Iestyn (56222251100)</t>
  </si>
  <si>
    <t>58093841100; 35081155100; 7102846048; 8852760500; 56222251100</t>
  </si>
  <si>
    <t>Disproportionate impact of atmospheric heat events on lake surface water temperature increases</t>
  </si>
  <si>
    <t>Li Y.; Shi K.; Zhang Y.; Zhu G.; Guo Y.; Li H.; Du C.</t>
  </si>
  <si>
    <t>Li, Yuan (55266195400); Shi, Kun (35081155100); Zhang, Yunlin (8852760500); Zhu, Guangwei (55694297900); Guo, Yulong (7406309933); Li, Huiyun (56729909400); Du, Chenggong (59662827500)</t>
  </si>
  <si>
    <t>55266195400; 35081155100; 8852760500; 55694297900; 7406309933; 56729909400; 59662827500</t>
  </si>
  <si>
    <t>Warming lake surface water temperatures in Lake Qiandaohu, China: Spatiotemporal variations, influencing factors and implications for the thermal structure</t>
  </si>
  <si>
    <t>Wan W.; Zhao L.; Xie H.; Liu B.; Li H.; Cui Y.; Ma Y.; Hong Y.</t>
  </si>
  <si>
    <t>Wan, W. (57204084645); Zhao, L. (55493736900); Xie, H. (57203808797); Liu, B. (57197784939); Li, H. (57197782293); Cui, Y. (35344501200); Ma, Y. (56164319600); Hong, Y. (8632797000)</t>
  </si>
  <si>
    <t>57204084645; 55493736900; 57203808797; 57197784939; 57197782293; 35344501200; 56164319600; 8632797000</t>
  </si>
  <si>
    <t>Lake Surface Water Temperature Change Over the Tibetan Plateau From 2001 to 2015: A Sensitive Indicator of the Warming Climate</t>
  </si>
  <si>
    <r>
      <t>Wan, W., Zhao, L., Xie, H., Liu, B., Li, H., Cui, Y., ... &amp; Hong, Y. (2018). Lake surface water temperature change over the Tibetan plateau from 2001 to 2015: A sensitive indicator of the warming climate. </t>
    </r>
    <r>
      <rPr>
        <i/>
        <sz val="10"/>
        <color rgb="FFFF0000"/>
        <rFont val="Arial"/>
        <family val="2"/>
      </rPr>
      <t>Geophysical Research Letters</t>
    </r>
    <r>
      <rPr>
        <sz val="10"/>
        <color rgb="FFFF0000"/>
        <rFont val="Arial"/>
        <family val="2"/>
      </rPr>
      <t>, </t>
    </r>
    <r>
      <rPr>
        <i/>
        <sz val="10"/>
        <color rgb="FFFF0000"/>
        <rFont val="Arial"/>
        <family val="2"/>
      </rPr>
      <t>45</t>
    </r>
    <r>
      <rPr>
        <sz val="10"/>
        <color rgb="FFFF0000"/>
        <rFont val="Arial"/>
        <family val="2"/>
      </rPr>
      <t>(20), 11-177.</t>
    </r>
  </si>
  <si>
    <t>https://www.scopus.com/inward/record.uri?eid=2-s2.0-85055136476&amp;doi=10.1029%2f2018GL078601&amp;partnerID=40&amp;md5=3f860b17531b2432dd6aaaf7a2c95029</t>
  </si>
  <si>
    <t>Review on the change trend, attribution analysis, retrieval, simulation, and prediction of lake surface water temperature</t>
  </si>
  <si>
    <t>Analysis on driving factors of lake surface water temperature for major lakes in Yunnan-Guizhou Plateau. </t>
  </si>
  <si>
    <t>Lake surface water temperature prediction and changing characteristics analysis-A case study of 11 natural lakes in Yunnan-Guizhou Plateau.</t>
  </si>
  <si>
    <t>Spatial and temporal variations in the relationship between lake water surface temperatures and water quality-A case study of Dianchi Lake.</t>
  </si>
  <si>
    <r>
      <rPr>
        <sz val="10"/>
        <color rgb="FF222222"/>
        <rFont val="Arial"/>
        <family val="2"/>
      </rPr>
      <t>Yang, K., Yu, Z., Luo, Y., Yang, Y., Zhao, L., &amp; Zhou, X. (2018). Spatial and temporal variations in the relationship between lake water surface temperatures and water quality-A case study of Dianchi Lake. </t>
    </r>
    <r>
      <rPr>
        <i/>
        <sz val="10"/>
        <color rgb="FF222222"/>
        <rFont val="Arial"/>
        <family val="2"/>
      </rPr>
      <t>Science of the total environment</t>
    </r>
    <r>
      <rPr>
        <sz val="10"/>
        <color rgb="FF222222"/>
        <rFont val="Arial"/>
        <family val="2"/>
      </rPr>
      <t>, </t>
    </r>
    <r>
      <rPr>
        <i/>
        <sz val="10"/>
        <color rgb="FF222222"/>
        <rFont val="Arial"/>
        <family val="2"/>
      </rPr>
      <t>624</t>
    </r>
    <r>
      <rPr>
        <sz val="10"/>
        <color rgb="FF222222"/>
        <rFont val="Arial"/>
        <family val="2"/>
      </rPr>
      <t>, 859-871.</t>
    </r>
  </si>
  <si>
    <t>Spatial‐temporal variation of lake surface water temperature and its driving factors in Yunnan‐Guizhou Plateau.</t>
  </si>
  <si>
    <t>Analysis of surface temperature variation of lakes in China using MODIS land surface temperature data.</t>
  </si>
  <si>
    <r>
      <rPr>
        <sz val="10"/>
        <color rgb="FF222222"/>
        <rFont val="Arial"/>
        <family val="2"/>
      </rPr>
      <t>Xie, C., Zhang, X., Zhuang, L., Zhu, R., &amp; Guo, J. (2022). Analysis of surface temperature variation of lakes in China using MODIS land surface temperature data. </t>
    </r>
    <r>
      <rPr>
        <i/>
        <sz val="10"/>
        <color rgb="FF222222"/>
        <rFont val="Arial"/>
        <family val="2"/>
      </rPr>
      <t>Scientific Reports</t>
    </r>
    <r>
      <rPr>
        <sz val="10"/>
        <color rgb="FF222222"/>
        <rFont val="Arial"/>
        <family val="2"/>
      </rPr>
      <t>, </t>
    </r>
    <r>
      <rPr>
        <i/>
        <sz val="10"/>
        <color rgb="FF222222"/>
        <rFont val="Arial"/>
        <family val="2"/>
      </rPr>
      <t>12</t>
    </r>
    <r>
      <rPr>
        <sz val="10"/>
        <color rgb="FF222222"/>
        <rFont val="Arial"/>
        <family val="2"/>
      </rPr>
      <t>(1), 2415.</t>
    </r>
  </si>
  <si>
    <t>Lake surface water temperature change over the Tibetan plateau from 2001 to 2015: A sensitive indicator of the warming climate.</t>
  </si>
  <si>
    <t>Attribution of lake surface water temperature change in large lakes across China over past four decades.</t>
  </si>
  <si>
    <t>Lake surface water temperature in China from 2001 to 2021 based on GEE and HANTS.</t>
  </si>
  <si>
    <r>
      <t>Song, S., Yang, J., Liu, L., Bai, G., Zhou, J., &amp; McKay, D. (2024). Lake surface water temperature in China from 2001 to 2021 based on GEE and HANTS. </t>
    </r>
    <r>
      <rPr>
        <i/>
        <sz val="10"/>
        <color rgb="FFC00000"/>
        <rFont val="Arial"/>
        <family val="2"/>
      </rPr>
      <t>Ecological Informatics</t>
    </r>
    <r>
      <rPr>
        <sz val="10"/>
        <color rgb="FFC00000"/>
        <rFont val="Arial"/>
        <family val="2"/>
      </rPr>
      <t>, </t>
    </r>
    <r>
      <rPr>
        <i/>
        <sz val="10"/>
        <color rgb="FFC00000"/>
        <rFont val="Arial"/>
        <family val="2"/>
      </rPr>
      <t>84</t>
    </r>
    <r>
      <rPr>
        <sz val="10"/>
        <color rgb="FFC00000"/>
        <rFont val="Arial"/>
        <family val="2"/>
      </rPr>
      <t>, 102903.</t>
    </r>
  </si>
  <si>
    <t>Trends of Summer Lake Surface Water Temperature on the Tibetan Plateau and Their Response to Climate Change.</t>
  </si>
  <si>
    <t>Attribution analysis of lake surface water temperature changing—taking China’s six main lakes as example.</t>
  </si>
  <si>
    <t>Increasing maximum lake surface temperature under climate change.</t>
  </si>
  <si>
    <r>
      <rPr>
        <sz val="10"/>
        <color rgb="FF222222"/>
        <rFont val="Arial"/>
        <family val="2"/>
      </rPr>
      <t>Dokulil, M. T., de Eyto, E., Maberly, S. C., May, L., Weyhenmeyer, G. A., &amp; Woolway, R. I. (2021). Increasing maximum lake surface temperature under climate change. </t>
    </r>
    <r>
      <rPr>
        <i/>
        <sz val="10"/>
        <color rgb="FF222222"/>
        <rFont val="Arial"/>
        <family val="2"/>
      </rPr>
      <t>Climatic Change</t>
    </r>
    <r>
      <rPr>
        <sz val="10"/>
        <color rgb="FF222222"/>
        <rFont val="Arial"/>
        <family val="2"/>
      </rPr>
      <t>, </t>
    </r>
    <r>
      <rPr>
        <i/>
        <sz val="10"/>
        <color rgb="FF222222"/>
        <rFont val="Arial"/>
        <family val="2"/>
      </rPr>
      <t>165</t>
    </r>
    <r>
      <rPr>
        <sz val="10"/>
        <color rgb="FF222222"/>
        <rFont val="Arial"/>
        <family val="2"/>
      </rPr>
      <t>(3), 56.</t>
    </r>
  </si>
  <si>
    <t>Precipitation events impact on urban lake surface water temperature under the perspective of macroscopic scale.</t>
  </si>
  <si>
    <r>
      <rPr>
        <sz val="10"/>
        <color rgb="FF222222"/>
        <rFont val="Arial"/>
        <family val="2"/>
      </rPr>
      <t>Yang, K., Zhang, Y., Luo, Y., &amp; Shang, C. (2021). Precipitation events impact on urban lake surface water temperature under the perspective of macroscopic scale. </t>
    </r>
    <r>
      <rPr>
        <i/>
        <sz val="10"/>
        <color rgb="FF222222"/>
        <rFont val="Arial"/>
        <family val="2"/>
      </rPr>
      <t>Environmental Science and Pollution Research</t>
    </r>
    <r>
      <rPr>
        <sz val="10"/>
        <color rgb="FF222222"/>
        <rFont val="Arial"/>
        <family val="2"/>
      </rPr>
      <t>, </t>
    </r>
    <r>
      <rPr>
        <i/>
        <sz val="10"/>
        <color rgb="FF222222"/>
        <rFont val="Arial"/>
        <family val="2"/>
      </rPr>
      <t>28</t>
    </r>
    <r>
      <rPr>
        <sz val="10"/>
        <color rgb="FF222222"/>
        <rFont val="Arial"/>
        <family val="2"/>
      </rPr>
      <t>, 16767-16780.</t>
    </r>
  </si>
  <si>
    <t>Surface water temperature observations of large lakes by optimal estimation.</t>
  </si>
  <si>
    <r>
      <rPr>
        <sz val="10"/>
        <color rgb="FF222222"/>
        <rFont val="Arial"/>
        <family val="2"/>
      </rPr>
      <t>MacCallum, S. N., &amp; Merchant, C. J. (2012). Surface water temperature observations of large lakes by optimal estimation. </t>
    </r>
    <r>
      <rPr>
        <i/>
        <sz val="10"/>
        <color rgb="FF222222"/>
        <rFont val="Arial"/>
        <family val="2"/>
      </rPr>
      <t>Canadian Journal of Remote Sensing</t>
    </r>
    <r>
      <rPr>
        <sz val="10"/>
        <color rgb="FF222222"/>
        <rFont val="Arial"/>
        <family val="2"/>
      </rPr>
      <t>, </t>
    </r>
    <r>
      <rPr>
        <i/>
        <sz val="10"/>
        <color rgb="FF222222"/>
        <rFont val="Arial"/>
        <family val="2"/>
      </rPr>
      <t>38</t>
    </r>
    <r>
      <rPr>
        <sz val="10"/>
        <color rgb="FF222222"/>
        <rFont val="Arial"/>
        <family val="2"/>
      </rPr>
      <t>(1), 25-45.</t>
    </r>
  </si>
  <si>
    <t>Spatial–temporal characteristics of surface thermal environment and its effect on Lake surface water temperature in Dianchi Lake basin. </t>
  </si>
  <si>
    <t>The impact of land cover change on surface water temperature of small lakes in Eastern Ontario from 1985 to 2020.</t>
  </si>
  <si>
    <r>
      <rPr>
        <sz val="10"/>
        <color rgb="FF222222"/>
        <rFont val="Arial"/>
        <family val="2"/>
      </rPr>
      <t>Senyshen, M. D., &amp; Chen, D. (2023). The impact of land cover change on surface water temperature of small lakes in Eastern Ontario from 1985 to 2020. </t>
    </r>
    <r>
      <rPr>
        <i/>
        <sz val="10"/>
        <color rgb="FF222222"/>
        <rFont val="Arial"/>
        <family val="2"/>
      </rPr>
      <t>Land</t>
    </r>
    <r>
      <rPr>
        <sz val="10"/>
        <color rgb="FF222222"/>
        <rFont val="Arial"/>
        <family val="2"/>
      </rPr>
      <t>, </t>
    </r>
    <r>
      <rPr>
        <i/>
        <sz val="10"/>
        <color rgb="FF222222"/>
        <rFont val="Arial"/>
        <family val="2"/>
      </rPr>
      <t>12</t>
    </r>
    <r>
      <rPr>
        <sz val="10"/>
        <color rgb="FF222222"/>
        <rFont val="Arial"/>
        <family val="2"/>
      </rPr>
      <t>(3), 547.</t>
    </r>
  </si>
  <si>
    <t>Senyshen &amp; Chen 2023</t>
  </si>
  <si>
    <t>Maximum lake surface water temperatures changing characteristics under climate change.</t>
  </si>
  <si>
    <t>The impact of global warming on lake surface water temperature in Poland-the application of empirical-statistical downscaling, 1971-2100.</t>
  </si>
  <si>
    <r>
      <rPr>
        <sz val="10"/>
        <color rgb="FF222222"/>
        <rFont val="Arial"/>
        <family val="2"/>
      </rPr>
      <t>Czernecki, B., &amp; Ptak, M. (2018). The impact of global warming on lake surface water temperature in Poland-the application of empirical-statistical downscaling, 1971-2100. </t>
    </r>
    <r>
      <rPr>
        <i/>
        <sz val="10"/>
        <color rgb="FF222222"/>
        <rFont val="Arial"/>
        <family val="2"/>
      </rPr>
      <t>Journal of Limnology</t>
    </r>
    <r>
      <rPr>
        <sz val="10"/>
        <color rgb="FF222222"/>
        <rFont val="Arial"/>
        <family val="2"/>
      </rPr>
      <t>, </t>
    </r>
    <r>
      <rPr>
        <i/>
        <sz val="10"/>
        <color rgb="FF222222"/>
        <rFont val="Arial"/>
        <family val="2"/>
      </rPr>
      <t>77</t>
    </r>
    <r>
      <rPr>
        <sz val="10"/>
        <color rgb="FF222222"/>
        <rFont val="Arial"/>
        <family val="2"/>
      </rPr>
      <t>(2).</t>
    </r>
  </si>
  <si>
    <t>Reconstruction of Surface Water Temperature in Lakes as a Source for Long-Term Analysis of Its Changes. </t>
  </si>
  <si>
    <r>
      <t>Sojka, M., &amp; Ptak, M. (2024). Reconstruction of Surface Water Temperature in Lakes as a Source for Long-Term Analysis of Its Changes. </t>
    </r>
    <r>
      <rPr>
        <i/>
        <sz val="10"/>
        <color rgb="FFC00000"/>
        <rFont val="Arial"/>
        <family val="2"/>
      </rPr>
      <t>Water</t>
    </r>
    <r>
      <rPr>
        <sz val="10"/>
        <color rgb="FFC00000"/>
        <rFont val="Arial"/>
        <family val="2"/>
      </rPr>
      <t>, </t>
    </r>
    <r>
      <rPr>
        <i/>
        <sz val="10"/>
        <color rgb="FFC00000"/>
        <rFont val="Arial"/>
        <family val="2"/>
      </rPr>
      <t>16</t>
    </r>
    <r>
      <rPr>
        <sz val="10"/>
        <color rgb="FFC00000"/>
        <rFont val="Arial"/>
        <family val="2"/>
      </rPr>
      <t>(23), 3347.</t>
    </r>
  </si>
  <si>
    <t>Sojka &amp; Ptak 2024</t>
  </si>
  <si>
    <t>Spatiotemporal variations in Dianchi lake’s surface water temperature from 2001 to 2017 under the influence of climate warming. </t>
  </si>
  <si>
    <r>
      <rPr>
        <sz val="10"/>
        <color rgb="FF222222"/>
        <rFont val="Arial"/>
        <family val="2"/>
      </rPr>
      <t>Luo, Y., Zhang, Y., Yang, K., Yu, Z., &amp; Zhu, Y. (2019). Spatiotemporal variations in Dianchi lake’s surface water temperature from 2001 to 2017 under the influence of climate warming. </t>
    </r>
    <r>
      <rPr>
        <i/>
        <sz val="10"/>
        <color rgb="FF222222"/>
        <rFont val="Arial"/>
        <family val="2"/>
      </rPr>
      <t>Ieee Access</t>
    </r>
    <r>
      <rPr>
        <sz val="10"/>
        <color rgb="FF222222"/>
        <rFont val="Arial"/>
        <family val="2"/>
      </rPr>
      <t>, </t>
    </r>
    <r>
      <rPr>
        <i/>
        <sz val="10"/>
        <color rgb="FF222222"/>
        <rFont val="Arial"/>
        <family val="2"/>
      </rPr>
      <t>7</t>
    </r>
    <r>
      <rPr>
        <sz val="10"/>
        <color rgb="FF222222"/>
        <rFont val="Arial"/>
        <family val="2"/>
      </rPr>
      <t>, 115378-115387.</t>
    </r>
  </si>
  <si>
    <t>Evaluation of methods for estimating lake surface water temperature using Landsat 8. </t>
  </si>
  <si>
    <r>
      <rPr>
        <sz val="10"/>
        <color rgb="FF222222"/>
        <rFont val="Arial"/>
        <family val="2"/>
      </rPr>
      <t>Dyba, K., Ermida, S., Ptak, M., Piekarczyk, J., &amp; Sojka, M. (2022). Evaluation of methods for estimating lake surface water temperature using Landsat 8. </t>
    </r>
    <r>
      <rPr>
        <i/>
        <sz val="10"/>
        <color rgb="FF222222"/>
        <rFont val="Arial"/>
        <family val="2"/>
      </rPr>
      <t>Remote Sensing</t>
    </r>
    <r>
      <rPr>
        <sz val="10"/>
        <color rgb="FF222222"/>
        <rFont val="Arial"/>
        <family val="2"/>
      </rPr>
      <t>, </t>
    </r>
    <r>
      <rPr>
        <i/>
        <sz val="10"/>
        <color rgb="FF222222"/>
        <rFont val="Arial"/>
        <family val="2"/>
      </rPr>
      <t>14</t>
    </r>
    <r>
      <rPr>
        <sz val="10"/>
        <color rgb="FF222222"/>
        <rFont val="Arial"/>
        <family val="2"/>
      </rPr>
      <t>(15), 3839.</t>
    </r>
  </si>
  <si>
    <t>Dyba et al. 2022</t>
  </si>
  <si>
    <t>An analysis of the Lake Surface Water Temperature evolution of the world’s largest lakes during the years 2003-2020 using MODIS data.</t>
  </si>
  <si>
    <r>
      <rPr>
        <sz val="10"/>
        <color rgb="FF222222"/>
        <rFont val="Arial"/>
        <family val="2"/>
      </rPr>
      <t>Sobrino, J. A., García-Monteiro, S., &amp; Julien, Y. (2024). An analysis of the Lake Surface Water Temperature evolution of the world’s largest lakes during the years 2003-2020 using MODIS data. </t>
    </r>
    <r>
      <rPr>
        <i/>
        <sz val="10"/>
        <color rgb="FF222222"/>
        <rFont val="Arial"/>
        <family val="2"/>
      </rPr>
      <t>Recent Adv. Remote Sens</t>
    </r>
    <r>
      <rPr>
        <sz val="10"/>
        <color rgb="FF222222"/>
        <rFont val="Arial"/>
        <family val="2"/>
      </rPr>
      <t>, </t>
    </r>
    <r>
      <rPr>
        <i/>
        <sz val="10"/>
        <color rgb="FF222222"/>
        <rFont val="Arial"/>
        <family val="2"/>
      </rPr>
      <t>1</t>
    </r>
    <r>
      <rPr>
        <sz val="10"/>
        <color rgb="FF222222"/>
        <rFont val="Arial"/>
        <family val="2"/>
      </rPr>
      <t>, 1-9.</t>
    </r>
  </si>
  <si>
    <t>Dynamic response of surface water temperature in Urban Lakes under different climate scenarios—a case study in dianchi Lake, China.</t>
  </si>
  <si>
    <r>
      <rPr>
        <sz val="10"/>
        <color rgb="FF222222"/>
        <rFont val="Arial"/>
        <family val="2"/>
      </rPr>
      <t>Duan, H., Shang, C., Yang, K., &amp; Luo, Y. (2022). Dynamic response of surface water temperature in Urban Lakes under different climate scenarios—a case study in dianchi Lake, China. </t>
    </r>
    <r>
      <rPr>
        <i/>
        <sz val="10"/>
        <color rgb="FF222222"/>
        <rFont val="Arial"/>
        <family val="2"/>
      </rPr>
      <t>International Journal of Environmental Research and Public Health</t>
    </r>
    <r>
      <rPr>
        <sz val="10"/>
        <color rgb="FF222222"/>
        <rFont val="Arial"/>
        <family val="2"/>
      </rPr>
      <t>, </t>
    </r>
    <r>
      <rPr>
        <i/>
        <sz val="10"/>
        <color rgb="FF222222"/>
        <rFont val="Arial"/>
        <family val="2"/>
      </rPr>
      <t>19</t>
    </r>
    <r>
      <rPr>
        <sz val="10"/>
        <color rgb="FF222222"/>
        <rFont val="Arial"/>
        <family val="2"/>
      </rPr>
      <t>(19), 12142.</t>
    </r>
  </si>
  <si>
    <t>An operational analysis of lake surface water temperature. </t>
  </si>
  <si>
    <r>
      <rPr>
        <sz val="10"/>
        <color rgb="FF222222"/>
        <rFont val="Arial"/>
        <family val="2"/>
      </rPr>
      <t>Fiedler, E. K., Martin, M. J., &amp; Roberts-Jones, J. (2014). An operational analysis of lake surface water temperature. </t>
    </r>
    <r>
      <rPr>
        <i/>
        <sz val="10"/>
        <color rgb="FF222222"/>
        <rFont val="Arial"/>
        <family val="2"/>
      </rPr>
      <t>Tellus A: Dynamic Meteorology and Oceanography</t>
    </r>
    <r>
      <rPr>
        <sz val="10"/>
        <color rgb="FF222222"/>
        <rFont val="Arial"/>
        <family val="2"/>
      </rPr>
      <t>, </t>
    </r>
    <r>
      <rPr>
        <i/>
        <sz val="10"/>
        <color rgb="FF222222"/>
        <rFont val="Arial"/>
        <family val="2"/>
      </rPr>
      <t>66</t>
    </r>
    <r>
      <rPr>
        <sz val="10"/>
        <color rgb="FF222222"/>
        <rFont val="Arial"/>
        <family val="2"/>
      </rPr>
      <t>(1), 21247.</t>
    </r>
  </si>
  <si>
    <t>Fiedler et al. 2014</t>
  </si>
  <si>
    <t>Long-Term Trends of Lake Surface Water Temperatures in Lowland Polish Temperate Lakes.</t>
  </si>
  <si>
    <t>Impact of climate change on the Vrana Lake surface water temperature in Croatia using support vector regression.</t>
  </si>
  <si>
    <r>
      <t>Brkić, Ž., &amp; Larva, O. (2024). Impact of climate change on the Vrana Lake surface water temperature in Croatia using support vector regression. </t>
    </r>
    <r>
      <rPr>
        <i/>
        <sz val="10"/>
        <color rgb="FFFF0000"/>
        <rFont val="Arial"/>
        <family val="2"/>
      </rPr>
      <t>Journal of Hydrology: Regional Studies</t>
    </r>
    <r>
      <rPr>
        <sz val="10"/>
        <color rgb="FFFF0000"/>
        <rFont val="Arial"/>
        <family val="2"/>
      </rPr>
      <t>, </t>
    </r>
    <r>
      <rPr>
        <i/>
        <sz val="10"/>
        <color rgb="FFFF0000"/>
        <rFont val="Arial"/>
        <family val="2"/>
      </rPr>
      <t>54</t>
    </r>
    <r>
      <rPr>
        <sz val="10"/>
        <color rgb="FFFF0000"/>
        <rFont val="Arial"/>
        <family val="2"/>
      </rPr>
      <t>, 101858.</t>
    </r>
  </si>
  <si>
    <t>Substantial increase in minimum lake surface temperatures under climate change.</t>
  </si>
  <si>
    <r>
      <rPr>
        <sz val="10"/>
        <color rgb="FF222222"/>
        <rFont val="Arial"/>
        <family val="2"/>
      </rPr>
      <t>Woolway, R. I., Weyhenmeyer, G. A., Schmid, M., Dokulil, M. T., de Eyto, E., Maberly, S. C., ... &amp; Merchant, C. J. (2019). Substantial increase in minimum lake surface temperatures under climate change. </t>
    </r>
    <r>
      <rPr>
        <i/>
        <sz val="10"/>
        <color rgb="FF222222"/>
        <rFont val="Arial"/>
        <family val="2"/>
      </rPr>
      <t>Climatic Change</t>
    </r>
    <r>
      <rPr>
        <sz val="10"/>
        <color rgb="FF222222"/>
        <rFont val="Arial"/>
        <family val="2"/>
      </rPr>
      <t>, </t>
    </r>
    <r>
      <rPr>
        <i/>
        <sz val="10"/>
        <color rgb="FF222222"/>
        <rFont val="Arial"/>
        <family val="2"/>
      </rPr>
      <t>155</t>
    </r>
    <r>
      <rPr>
        <sz val="10"/>
        <color rgb="FF222222"/>
        <rFont val="Arial"/>
        <family val="2"/>
      </rPr>
      <t>, 81-94.</t>
    </r>
  </si>
  <si>
    <t>Lake Surface Water Temperature in high altitude lakes in the Pyrenees: Combining satellite with monitoring data to assess recent trends.</t>
  </si>
  <si>
    <r>
      <t>Jungkeit-Milla, K., Pérez-Cabello, F., de Vera-García, A. V., Galofré, M., &amp; Valero-Garcés, B. (2024). Lake Surface Water Temperature in high altitude lakes in the Pyrenees: Combining satellite with monitoring data to assess recent trends. </t>
    </r>
    <r>
      <rPr>
        <i/>
        <sz val="10"/>
        <color rgb="FFFF0000"/>
        <rFont val="Arial"/>
        <family val="2"/>
      </rPr>
      <t>Science of the Total Environment</t>
    </r>
    <r>
      <rPr>
        <sz val="10"/>
        <color rgb="FFFF0000"/>
        <rFont val="Arial"/>
        <family val="2"/>
      </rPr>
      <t>, </t>
    </r>
    <r>
      <rPr>
        <i/>
        <sz val="10"/>
        <color rgb="FFFF0000"/>
        <rFont val="Arial"/>
        <family val="2"/>
      </rPr>
      <t>933</t>
    </r>
    <r>
      <rPr>
        <sz val="10"/>
        <color rgb="FFFF0000"/>
        <rFont val="Arial"/>
        <family val="2"/>
      </rPr>
      <t>, 173181.</t>
    </r>
  </si>
  <si>
    <t>ScienceEcosystem</t>
  </si>
  <si>
    <t>Bauersachs, T., Rochelmeier, J., &amp; Schwark, L.. (2015). Seasonal lake surface water temperature trends reflected by heterocyst glycolipid-based molecular thermometers. Biogeosciences, 12(12), 3741-3751. https://doi.org/10.5194/bg-12-3741-2015</t>
  </si>
  <si>
    <t>Woolway, R. I., Dokulil, M. T., Marszelewski, W., Schmid, M., Bouffard, D., &amp; Merchant, C. J.. (2017). Warming of Central European lakes and their response to the 1980s climate regime shift. Climatic Change, 142(3-4), 505-520. https://doi.org/10.1007/s10584-017-1966-4</t>
  </si>
  <si>
    <t>Jia, T., Yang, K., Peng, Z., Tang, L., Duan, H., &amp; Luo, Y.. (2022). Review on the Change Trend, Attribution Analysis, Retrieval, Simulation, and Prediction of Lake Surface Water Temperature. IEEE Journal of Selected Topics in Applied Earth Observations and Remote Sensing, 15, 6324-6355. https://doi.org/10.1109/jstars.2022.3188788</t>
  </si>
  <si>
    <t>Pilla, R. M., Williamson, C. E., Адамович, Б. В., Adrian, R., Anneville, O., Chandra, S., Colom, W., Devlin, S. P., Dix, M., Dokulil, M. T., Gaiser, E. E., Girdner, S. F., Hambright, K. D., Hamilton, D. P., Havens, K. E., Hessen, D. O., Higgins, S. N., Huttula, T., Huuskonen, H., …, Zadereev, E.. (2020). Deeper waters are changing less consistently than surface waters in a global analysis of 102 lakes. Scientific Reports, 10(1). https://doi.org/10.1038/s41598-020-76873-x</t>
  </si>
  <si>
    <t>Yang, K., Yu, Z., Luo, Y., Zhou, X., &amp; Shang, C.. (2019). Spatial‐Temporal Variation of Lake Surface Water Temperature and Its Driving Factors in Yunnan‐Guizhou Plateau. Water Resources Research, 55(6), 4688-4703. https://doi.org/10.1029/2019wr025316</t>
  </si>
  <si>
    <t>Gray, D. K., Hampton, S. E., O’Reilly, C. M., Sharma, S., &amp; Cohen, R. S.. (2018). How do data collection and processing methods impact the accuracy of long‐term trend estimation in lake surface‐water temperatures?. Limnology and Oceanography Methods, 16(8), 504-515. https://doi.org/10.1002/lom3.10262</t>
  </si>
  <si>
    <t>Woolway, R. I. &amp; Merchant, C. J.. (2018). Intralake Heterogeneity of Thermal Responses to Climate Change: A Study of Large Northern Hemisphere Lakes. Journal of Geophysical Research Atmospheres, 123(6), 3087-3098. https://doi.org/10.1002/2017jd027661</t>
  </si>
  <si>
    <t>Jungkeit-Milla, K., Pérez, F., Vera-García, A. V. D., Galofré, M., &amp; Valero‐Garcés, B. L.. (2024). Lake Surface Water Temperature in high altitude lakes in the Pyrenees: Combining satellite with monitoring data to assess recent trends. The Science of The Total Environment, 933, 173181-173181. https://doi.org/10.1016/j.scitotenv.2024.173181</t>
  </si>
  <si>
    <t>Wan, W., Li, H., Xie, H., Hong, Y., Long, D., Zhao, L., Han, Z., Cui, Y., Liu, B., Wang, C., &amp; Yang, W.. (2017). A comprehensive data set of lake surface water temperature over the Tibetan Plateau derived from MODIS LST products 2001–2015. Scientific Data, 4(1). https://doi.org/10.1038/sdata.2017.95</t>
  </si>
  <si>
    <t>Lieberherr, G. &amp; Wunderle, S.. (2018). Lake Surface Water Temperature Derived from 35 Years of AVHRR Sensor Data for European Lakes. Remote Sensing, 10(7), 990-990. https://doi.org/10.3390/rs10070990</t>
  </si>
  <si>
    <t>Wan, W., Zhao, L., Xie, H., Liu, B., Li, H., Cui, Y., Ma, Y., &amp; Hong, Y.. (2018). Lake Surface Water Temperature Change Over the Tibetan Plateau From 2001 to 2015: A Sensitive Indicator of the Warming Climate. Geophysical Research Letters, 45(20). https://doi.org/10.1029/2018gl078601</t>
  </si>
  <si>
    <t>Novikmec, M., Svitok, M., Kočický, D., Šporka, F., &amp; Bitušík, P.. (2013). Surface Water Temperature and Ice Cover of Tatra Mountains Lakes Depend on Altitude, Topographic Shading, and Bathymetry. Arctic Antarctic and Alpine Research, 45(1), 77-87. https://doi.org/10.1657/1938-4246-45.1.77</t>
  </si>
  <si>
    <t>Xie, C., Zhang, X., Zhuang, L., Zhu, R., &amp; Guo, J.. (2022). Analysis of surface temperature variation of lakes in China using MODIS land surface temperature data. Scientific Reports, 12(1). https://doi.org/10.1038/s41598-022-06363-9</t>
  </si>
  <si>
    <t>Piccolroaz, S., Zhu, S., Ptak, M., Sojka, M., &amp; Du, X.. (2021). Warming of lowland Polish lakes under future climate change scenarios and consequences for ice cover and mixing dynamics. Journal of Hydrology Regional Studies, 34, 100780-100780. https://doi.org/10.1016/j.ejrh.2021.100780</t>
  </si>
  <si>
    <t>Riffler, M., Lieberherr, G., &amp; Wunderle, S.. (2015). Lake surface water temperatures of European Alpine lakes (1989–2013) based on the Advanced Very High Resolution Radiometer (AVHRR) 1 km data set. Earth system science data, 7(1), 1-17. https://doi.org/10.5194/essd-7-1-2015</t>
  </si>
  <si>
    <t>Wang, W., Shi, K., Wang, X., Zhang, Y., Qin, B., Zhang, Y., &amp; Woolway, R. I.. (2024). The impact of extreme heat on lake warming in China. Nature Communications, 15(1). https://doi.org/10.1038/s41467-023-44404-7</t>
  </si>
  <si>
    <t>Winslow, L., Leach, T. H., &amp; Rose, K. C.. (2018). Global lake response to the recent warming hiatus. Environmental Research Letters, 13(5), 054005-054005. https://doi.org/10.1088/1748-9326/aab9d7</t>
  </si>
  <si>
    <t>Noori, R., Bateni, S. M., Saari, M., Almazroui, M., &amp; Haghighi, A. T.. (2022). Strong Warming Rates in the Surface and Bottom Layers of a Boreal Lake: Results From Approximately Six Decades of Measurements (1964–2020). Earth and Space Science, 9(2). https://doi.org/10.1029/2021ea001973</t>
  </si>
  <si>
    <t>Wang, R., Dong, W., Sun, J., Sojka, M., Ptak, M., &amp; Zhu, S.. (2025). Long-Term Trends of Lake Surface Water Temperatures in Lowland Polish Temperate Lakes. Atmosphere, 16(2), 120-120. https://doi.org/10.3390/atmos16020120</t>
  </si>
  <si>
    <t>Shi, Y., Huang, A., Wu, Y., La, Z., &amp; Wen, L.. (2024). Trends of Summer Lake Surface Water Temperature on the Tibetan Plateau and Their Response to Climate Change. Earth and Space Science, 11(12). https://doi.org/10.1029/2024ea003910</t>
  </si>
  <si>
    <t>Li, X., Peng, S., Deng, X., Su, M., &amp; Zeng, H.. (2019). Attribution of Lake Warming in Four Shallow Lakes in the Middle and Lower Yangtze River Basin. Environmental Science &amp; Technology, 53(21), 12548-12555. https://doi.org/10.1021/acs.est.9b03098</t>
  </si>
  <si>
    <t>Oesch, D., Jaquet, J., Klaus, R., &amp; Schenker, P. S.. (2008). Multi‐scale thermal pattern monitoring of a large lake (Lake Geneva) using a multi‐sensor approach. International Journal of Remote Sensing, 29(20), 5785-5808. https://doi.org/10.1080/01431160802132786</t>
  </si>
  <si>
    <t>Herrick, C., Steele, B. G., Brentrup, J. A., Cottingham, K. L., Ducey, M. J., Lutz, D. A., Palace, M., Thompson, M. C., Trout‐Haney, J. V., &amp; Weathers, K. C.. (2023). &lt;scp&gt;lakeCoSTR&lt;/scp&gt;: A tool to facilitate use of Landsat Collection 2 to estimate lake surface water temperatures. Ecosphere, 14(1). https://doi.org/10.1002/ecs2.4357</t>
  </si>
  <si>
    <t>OpenAlex</t>
  </si>
  <si>
    <t>https://doi.org/10.1007/s10584-020-02663-z</t>
  </si>
  <si>
    <t>Seasonal lake surface water temperature trends reflected by heterocyst glycolipid-based molecular thermometers</t>
  </si>
  <si>
    <t>https://doi.org/10.5194/bg-12-3741-2015</t>
  </si>
  <si>
    <t>https://doi.org/10.1109/jstars.2022.3188788</t>
  </si>
  <si>
    <t>How do data collection and processing methods impact the accuracy of long‐term trend estimation in lake surface‐water temperatures?</t>
  </si>
  <si>
    <t>https://doi.org/10.1002/lom3.10262</t>
  </si>
  <si>
    <t>https://doi.org/10.1016/j.scitotenv.2024.173181</t>
  </si>
  <si>
    <t>https://doi.org/10.1080/10106049.2021.2009043</t>
  </si>
  <si>
    <t>https://doi.org/10.1029/2024ea003910</t>
  </si>
  <si>
    <t>https://doi.org/10.3390/atmos16020120</t>
  </si>
  <si>
    <t>Seasonal lake surface water temperature trends reflected by heterocyst glycolipid based molecular thermometers</t>
  </si>
  <si>
    <t>https://doi.org/10.5194/bgd-12-751-2015</t>
  </si>
  <si>
    <t>Correction to: Global reconstruction of twentieth century lake surface water temperature reveals different warming trends depending on the climatic zone</t>
  </si>
  <si>
    <t>https://doi.org/10.1007/s10584-020-02720-7</t>
  </si>
  <si>
    <t>Warming of Central European lakes and their response to the 1980s climate regime shift</t>
  </si>
  <si>
    <t>https://doi.org/10.1007/s10584-017-1966-4</t>
  </si>
  <si>
    <t>Deeper waters are changing less consistently than surface waters in a global analysis of 102 lakes</t>
  </si>
  <si>
    <t>https://doi.org/10.1038/s41598-020-76873-x</t>
  </si>
  <si>
    <t>Spatial‐Temporal Variation of Lake Surface Water Temperature and Its Driving Factors in Yunnan‐Guizhou Plateau</t>
  </si>
  <si>
    <t>https://doi.org/10.1029/2019wr025316</t>
  </si>
  <si>
    <t>Intralake Heterogeneity of Thermal Responses to Climate Change: A Study of Large Northern Hemisphere Lakes</t>
  </si>
  <si>
    <t>https://doi.org/10.1002/2017jd027661</t>
  </si>
  <si>
    <t>A comprehensive data set of lake surface water temperature over the Tibetan Plateau derived from MODIS LST products 2001–2015</t>
  </si>
  <si>
    <t>https://doi.org/10.1038/sdata.2017.95</t>
  </si>
  <si>
    <t>https://doi.org/10.1029/2018gl078601</t>
  </si>
  <si>
    <t>Lake Surface Water Temperature Derived from 35 Years of AVHRR Sensor Data for European Lakes</t>
  </si>
  <si>
    <t>https://doi.org/10.3390/rs10070990</t>
  </si>
  <si>
    <t>Analysis of surface temperature variation of lakes in China using MODIS land surface temperature data</t>
  </si>
  <si>
    <t>https://doi.org/10.1038/s41598-022-06363-9</t>
  </si>
  <si>
    <t>Drivers of Globally Distributed Lake Surface Water Temperature Trends, 1985-2009</t>
  </si>
  <si>
    <t>https://doi.org/10.25071/ryr.v2i0.40393</t>
  </si>
  <si>
    <t>Surface Water Temperature and Ice Cover of Tatra Mountains Lakes Depend on Altitude, Topographic Shading, and Bathymetry</t>
  </si>
  <si>
    <t>https://doi.org/10.1657/1938-4246-45.1.77</t>
  </si>
  <si>
    <t>The impact of extreme heat on lake warming in China</t>
  </si>
  <si>
    <t>https://doi.org/10.1038/s41467-023-44404-7</t>
  </si>
  <si>
    <t>Global lake response to the recent warming hiatus</t>
  </si>
  <si>
    <t>https://doi.org/10.1088/1748-9326/aab9d7</t>
  </si>
  <si>
    <t>Warming of lowland Polish lakes under future climate change scenarios and consequences for ice cover and mixing dynamics</t>
  </si>
  <si>
    <t>https://doi.org/10.1016/j.ejrh.2021.100780</t>
  </si>
  <si>
    <t>Lake surface water temperatures of European Alpine lakes (1989–2013) based on the Advanced Very High Resolution Radiometer (AVHRR) 1 km data set</t>
  </si>
  <si>
    <t>https://doi.org/10.5194/essd-7-1-2015</t>
  </si>
  <si>
    <t>Attribution of Lake Warming in Four Shallow Lakes in the Middle and Lower Yangtze River Basin</t>
  </si>
  <si>
    <t>https://doi.org/10.1021/acs.est.9b03098</t>
  </si>
  <si>
    <t>Semantic Scholar</t>
  </si>
  <si>
    <r>
      <t>Jia, T., Yang, K., Peng, Z., Tang, L., Duan, H., &amp; Luo, Y. (2022). Review on the Change Trend, Attribution Analysis, Retrieval, Simulation, and Prediction of Lake Surface Water Temperature. </t>
    </r>
    <r>
      <rPr>
        <i/>
        <sz val="11"/>
        <color rgb="FF2E414F"/>
        <rFont val="Roboto"/>
        <charset val="1"/>
      </rPr>
      <t>IEEE Journal of Selected Topics in Applied Earth Observations and Remote Sensing, 15</t>
    </r>
    <r>
      <rPr>
        <sz val="11"/>
        <color rgb="FF2E414F"/>
        <rFont val="Roboto"/>
        <charset val="1"/>
      </rPr>
      <t>, 6324-6355.</t>
    </r>
  </si>
  <si>
    <r>
      <t>Bayable, G., Cai, J., Mekonnen, M., Legesse, S.A., Ishikawa, K., Sato, S., &amp; Kuwahara, V.S. (2024). Spatiotemporal variability of lake surface water temperature and water quality parameters and its interrelationship with water hyacinth biomass in Lake Tana, Ethiopia. </t>
    </r>
    <r>
      <rPr>
        <i/>
        <sz val="11"/>
        <color rgb="FF2E414F"/>
        <rFont val="Roboto"/>
        <charset val="1"/>
      </rPr>
      <t>Environmental science and pollution research international</t>
    </r>
    <r>
      <rPr>
        <sz val="11"/>
        <color rgb="FF2E414F"/>
        <rFont val="Roboto"/>
        <charset val="1"/>
      </rPr>
      <t>.</t>
    </r>
  </si>
  <si>
    <r>
      <t>Huang, L., Wang, X., Yan, Y., Jin, L., Yang, K., Chen, A., Zheng, R., Ottlé, C., Wang, C., Cui, Y., &amp; Piao, S. (2023). Attribution of Lake Surface Water Temperature Change in Large Lakes Across China Over Past Four Decades. </t>
    </r>
    <r>
      <rPr>
        <i/>
        <sz val="11"/>
        <color rgb="FF2E414F"/>
        <rFont val="Roboto"/>
        <charset val="1"/>
      </rPr>
      <t>Journal of Geophysical Research: Atmospheres, 128</t>
    </r>
    <r>
      <rPr>
        <sz val="11"/>
        <color rgb="FF2E414F"/>
        <rFont val="Roboto"/>
        <charset val="1"/>
      </rPr>
      <t>.</t>
    </r>
  </si>
  <si>
    <r>
      <t>Sun, B. (2025). Identifying Seasonal Coherence in Global Lake Surface Water Temperature. </t>
    </r>
    <r>
      <rPr>
        <i/>
        <sz val="11"/>
        <color rgb="FF2E414F"/>
        <rFont val="Roboto"/>
        <charset val="1"/>
      </rPr>
      <t>Highlights in Science, Engineering and Technology</t>
    </r>
    <r>
      <rPr>
        <sz val="11"/>
        <color rgb="FF2E414F"/>
        <rFont val="Roboto"/>
        <charset val="1"/>
      </rPr>
      <t>.</t>
    </r>
  </si>
  <si>
    <r>
      <t>Zhao, Y., Yang, K., Luo, Y., &amp; Yu, Z. (2022). Spatial–temporal characteristics of surface thermal environment and its effect on Lake surface water temperature in Dianchi Lake basin. </t>
    </r>
    <r>
      <rPr>
        <i/>
        <sz val="11"/>
        <color rgb="FF2E414F"/>
        <rFont val="Roboto"/>
        <charset val="1"/>
      </rPr>
      <t>Frontiers in Ecology and Evolution</t>
    </r>
    <r>
      <rPr>
        <sz val="11"/>
        <color rgb="FF2E414F"/>
        <rFont val="Roboto"/>
        <charset val="1"/>
      </rPr>
      <t>.</t>
    </r>
  </si>
  <si>
    <r>
      <t>Tang, L., Yang, K., Shang, C., Peng, Z., &amp; Luo, Y. (2022). Spatial impact of urban expansion on lake surface water temperature based on the perspective of watershed scale. </t>
    </r>
    <r>
      <rPr>
        <i/>
        <sz val="11"/>
        <color rgb="FF2E414F"/>
        <rFont val="Roboto"/>
        <charset val="1"/>
      </rPr>
      <t>Frontiers in Environmental Science</t>
    </r>
    <r>
      <rPr>
        <sz val="11"/>
        <color rgb="FF2E414F"/>
        <rFont val="Roboto"/>
        <charset val="1"/>
      </rPr>
      <t>.</t>
    </r>
  </si>
  <si>
    <r>
      <t>Yang, K., Yu, Z., Luo, Y., Zhou, X., &amp; Shang, C. (2019). Spatial‐Temporal Variation of Lake Surface Water Temperature and Its Driving Factors in Yunnan‐Guizhou Plateau. </t>
    </r>
    <r>
      <rPr>
        <i/>
        <sz val="11"/>
        <color rgb="FF2E414F"/>
        <rFont val="Roboto"/>
        <charset val="1"/>
      </rPr>
      <t>Water Resources Research, 55</t>
    </r>
    <r>
      <rPr>
        <sz val="11"/>
        <color rgb="FF2E414F"/>
        <rFont val="Roboto"/>
        <charset val="1"/>
      </rPr>
      <t>, 4688 - 4703.</t>
    </r>
  </si>
  <si>
    <r>
      <t>Yang, K., Zhang, Y., Luo, Y., &amp; Shang, C. (2021). Precipitation events impact on urban lake surface water temperature under the perspective of macroscopic scale. </t>
    </r>
    <r>
      <rPr>
        <i/>
        <sz val="11"/>
        <color rgb="FF2E414F"/>
        <rFont val="Roboto"/>
        <charset val="1"/>
      </rPr>
      <t>Environmental Science and Pollution Research</t>
    </r>
    <r>
      <rPr>
        <sz val="11"/>
        <color rgb="FF2E414F"/>
        <rFont val="Roboto"/>
        <charset val="1"/>
      </rPr>
      <t>, 1-14.</t>
    </r>
  </si>
  <si>
    <r>
      <t>Yao, T., Lu, H., Yu, Q., Feng, W., Xue, Y., Feng, S., &amp; Xiao, S. (2021). Temporal and spatial heterogeneity of recent lake surface water temperature trends in the Qinghai-Tibet Plateau. </t>
    </r>
    <r>
      <rPr>
        <i/>
        <sz val="11"/>
        <color rgb="FF2E414F"/>
        <rFont val="Roboto"/>
        <charset val="1"/>
      </rPr>
      <t>Geocarto International, 37</t>
    </r>
    <r>
      <rPr>
        <sz val="11"/>
        <color rgb="FF2E414F"/>
        <rFont val="Roboto"/>
        <charset val="1"/>
      </rPr>
      <t>, 9002 - 9020.</t>
    </r>
  </si>
  <si>
    <r>
      <t>Wan, W., Li, H., Xie, H., Hong, Y., Long, D., Zhao, L., Han, Z., Cui, Y., Liu, B., Wang, C., &amp; Yang, W. (2017). A comprehensive data set of lake surface water temperature over the Tibetan Plateau derived from MODIS LST products 2001–2015. </t>
    </r>
    <r>
      <rPr>
        <i/>
        <sz val="11"/>
        <color rgb="FF2E414F"/>
        <rFont val="Roboto"/>
        <charset val="1"/>
      </rPr>
      <t>Scientific Data, 4</t>
    </r>
    <r>
      <rPr>
        <sz val="11"/>
        <color rgb="FF2E414F"/>
        <rFont val="Roboto"/>
        <charset val="1"/>
      </rPr>
      <t>.</t>
    </r>
  </si>
  <si>
    <r>
      <t>Wan, W., Zhao, L., Xie, H., Liu, B., Li, H., Cui, Y., Ma, Y., &amp; Hong, Y. (2018). Lake Surface Water Temperature Change Over the Tibetan Plateau From 2001 to 2015: A Sensitive Indicator of the Warming Climate. </t>
    </r>
    <r>
      <rPr>
        <i/>
        <sz val="11"/>
        <color rgb="FF2E414F"/>
        <rFont val="Roboto"/>
        <charset val="1"/>
      </rPr>
      <t>Geophysical Research Letters, 45</t>
    </r>
    <r>
      <rPr>
        <sz val="11"/>
        <color rgb="FF2E414F"/>
        <rFont val="Roboto"/>
        <charset val="1"/>
      </rPr>
      <t>, 11,177 - 11,186.</t>
    </r>
  </si>
  <si>
    <r>
      <t>Lieberherr, G., &amp; Wunderle, S. (2018). Lake Surface Water Temperature Derived from 35 Years of AVHRR Sensor Data for European Lakes. </t>
    </r>
    <r>
      <rPr>
        <i/>
        <sz val="11"/>
        <color rgb="FF2E414F"/>
        <rFont val="Roboto"/>
        <charset val="1"/>
      </rPr>
      <t>Remote. Sens., 10</t>
    </r>
    <r>
      <rPr>
        <sz val="11"/>
        <color rgb="FF2E414F"/>
        <rFont val="Roboto"/>
        <charset val="1"/>
      </rPr>
      <t>, 990.</t>
    </r>
  </si>
  <si>
    <t>Stefanoff, S. (2015). Drivers of Globally Distributed Lake Surface Water Temperature Trends, 1985-2009.</t>
  </si>
  <si>
    <r>
      <t>Persaud, B., Shahvaran, A.R., Attiah, G., Chasmer, L., English, M., Pour, H.K., &amp; Wolfe, B. (2025). Trend analysis of surface shortwave (solar) radiation in continental Northwest Territories, Canada (1980–2023). </t>
    </r>
    <r>
      <rPr>
        <i/>
        <sz val="11"/>
        <color rgb="FF2E414F"/>
        <rFont val="Roboto"/>
        <charset val="1"/>
      </rPr>
      <t>Journal of Climate</t>
    </r>
    <r>
      <rPr>
        <sz val="11"/>
        <color rgb="FF2E414F"/>
        <rFont val="Roboto"/>
        <charset val="1"/>
      </rPr>
      <t>.</t>
    </r>
  </si>
  <si>
    <r>
      <t>Ouyang, X., Chen, D., Zhou, S., Zhang, R., Yang, J., Hu, G., Dou, Y., &amp; Liu, Q. (2021). A Slight Temperature Warming Trend Occurred over Lake Ontario from 2001 to 2018. </t>
    </r>
    <r>
      <rPr>
        <i/>
        <sz val="11"/>
        <color rgb="FF2E414F"/>
        <rFont val="Roboto"/>
        <charset val="1"/>
      </rPr>
      <t>Land</t>
    </r>
    <r>
      <rPr>
        <sz val="11"/>
        <color rgb="FF2E414F"/>
        <rFont val="Roboto"/>
        <charset val="1"/>
      </rPr>
      <t>.</t>
    </r>
  </si>
  <si>
    <r>
      <t>Wang, R., Dong, W., Sun, J., Sojka, M., Ptak, M., &amp; Zhu, S. (2025). Long-Term Trends of Lake Surface Water Temperatures in Lowland Polish Temperate Lakes. </t>
    </r>
    <r>
      <rPr>
        <i/>
        <sz val="11"/>
        <color rgb="FF2E414F"/>
        <rFont val="Roboto"/>
        <charset val="1"/>
      </rPr>
      <t>Atmosphere</t>
    </r>
    <r>
      <rPr>
        <sz val="11"/>
        <color rgb="FF2E414F"/>
        <rFont val="Roboto"/>
        <charset val="1"/>
      </rPr>
      <t>.</t>
    </r>
  </si>
  <si>
    <r>
      <t>Xu, S., Yang, K., Zhou, X., Zhang, J., Yang, C., &amp; Luo, Y. (2024). Prediction of Surface Water Temperature and Its Spatial-Temporal Variation Characteristics of 11 Main Lakes in Yunnan–Guizhou Plateau. </t>
    </r>
    <r>
      <rPr>
        <i/>
        <sz val="11"/>
        <color rgb="FF2E414F"/>
        <rFont val="Roboto"/>
        <charset val="1"/>
      </rPr>
      <t>IEEE Journal of Selected Topics in Applied Earth Observations and Remote Sensing, 17</t>
    </r>
    <r>
      <rPr>
        <sz val="11"/>
        <color rgb="FF2E414F"/>
        <rFont val="Roboto"/>
        <charset val="1"/>
      </rPr>
      <t>, 2189-2200.</t>
    </r>
  </si>
  <si>
    <r>
      <t>Wang, Y., Tao, J., Zhao, L., Qin, S., Xiao, H., Wang, Y., Sheng, D., &amp; Zhang, Y. (2024). Investigating long-term changes in surface water temperature of Dongting Lake using Landsat imagery, China. </t>
    </r>
    <r>
      <rPr>
        <i/>
        <sz val="11"/>
        <color rgb="FF2E414F"/>
        <rFont val="Roboto"/>
        <charset val="1"/>
      </rPr>
      <t>Environmental science and pollution research international</t>
    </r>
    <r>
      <rPr>
        <sz val="11"/>
        <color rgb="FF2E414F"/>
        <rFont val="Roboto"/>
        <charset val="1"/>
      </rPr>
      <t>.</t>
    </r>
  </si>
  <si>
    <r>
      <t>Ptak, M., Sojka, M., Szyga-Pluta, K., Baloch, M.Y., &amp; Amnuaylojaroen, T. (2025). Is Everything Lost? Recreating the Surface Water Temperature of Unmonitored Lakes in Poland. </t>
    </r>
    <r>
      <rPr>
        <i/>
        <sz val="11"/>
        <color rgb="FF2E414F"/>
        <rFont val="Roboto"/>
        <charset val="1"/>
      </rPr>
      <t>Resources</t>
    </r>
    <r>
      <rPr>
        <sz val="11"/>
        <color rgb="FF2E414F"/>
        <rFont val="Roboto"/>
        <charset val="1"/>
      </rPr>
      <t>.</t>
    </r>
  </si>
  <si>
    <r>
      <t>Duan, H., Yang, K., Zhou, X., &amp; Luo, Y. (2025). Temporal and Spatial Dynamics of Surface Water Temperature Changes in China's Major Lakes. </t>
    </r>
    <r>
      <rPr>
        <i/>
        <sz val="11"/>
        <color rgb="FF2E414F"/>
        <rFont val="Roboto"/>
        <charset val="1"/>
      </rPr>
      <t>Water Resources Research</t>
    </r>
    <r>
      <rPr>
        <sz val="11"/>
        <color rgb="FF2E414F"/>
        <rFont val="Roboto"/>
        <charset val="1"/>
      </rPr>
      <t>.</t>
    </r>
  </si>
  <si>
    <r>
      <t>Xie, C., Zhang, X., Zhuang, L., Zhu, R., &amp; Guo, J. (2022). Analysis of surface temperature variation of lakes in China using MODIS land surface temperature data. </t>
    </r>
    <r>
      <rPr>
        <i/>
        <sz val="11"/>
        <color rgb="FF2E414F"/>
        <rFont val="Roboto"/>
        <charset val="1"/>
      </rPr>
      <t>Scientific Reports, 12</t>
    </r>
    <r>
      <rPr>
        <sz val="11"/>
        <color rgb="FF2E414F"/>
        <rFont val="Roboto"/>
        <charset val="1"/>
      </rPr>
      <t>.</t>
    </r>
  </si>
  <si>
    <r>
      <t>Noori, R., Bateni, S.M., Saari, M., Almazroui, M., &amp; Haghighi, A.T. (2022). Strong Warming Rates in the Surface and Bottom Layers of a Boreal Lake: Results From Approximately Six Decades of Measurements (1964–2020). </t>
    </r>
    <r>
      <rPr>
        <i/>
        <sz val="11"/>
        <color rgb="FF2E414F"/>
        <rFont val="Roboto"/>
        <charset val="1"/>
      </rPr>
      <t>Earth and Space Science, 9</t>
    </r>
    <r>
      <rPr>
        <sz val="11"/>
        <color rgb="FF2E414F"/>
        <rFont val="Roboto"/>
        <charset val="1"/>
      </rPr>
      <t>.</t>
    </r>
  </si>
  <si>
    <r>
      <t>Karakus, P. (2023). Investigation of Meteorological Effects on Çivril Lake, Turkey, with Sentinel-2 Data on Google Earth Engine Platform. </t>
    </r>
    <r>
      <rPr>
        <i/>
        <sz val="11"/>
        <color rgb="FF2E414F"/>
        <rFont val="Roboto"/>
        <charset val="1"/>
      </rPr>
      <t>Sustainability</t>
    </r>
    <r>
      <rPr>
        <sz val="11"/>
        <color rgb="FF2E414F"/>
        <rFont val="Roboto"/>
        <charset val="1"/>
      </rPr>
      <t>.</t>
    </r>
  </si>
  <si>
    <r>
      <t>Shi, Y., Huang, A., Ma, W., Wen, L., Zhu, L., Yang, X., Wu, Y., &amp; Gu, C. (2022). Drivers of Warming in Lake Nam Co on Tibetan Plateau Over the Past 40 Years. </t>
    </r>
    <r>
      <rPr>
        <i/>
        <sz val="11"/>
        <color rgb="FF2E414F"/>
        <rFont val="Roboto"/>
        <charset val="1"/>
      </rPr>
      <t>Journal of Geophysical Research: Atmospheres, 127</t>
    </r>
    <r>
      <rPr>
        <sz val="11"/>
        <color rgb="FF2E414F"/>
        <rFont val="Roboto"/>
        <charset val="1"/>
      </rPr>
      <t>.</t>
    </r>
  </si>
  <si>
    <r>
      <t>Li, X., Peng, S., Deng, X., Su, M., &amp; Zeng, H. (2019). Attribution of lake warming in four shallow lakes in the Middle and Lower Yangtze River basin. </t>
    </r>
    <r>
      <rPr>
        <i/>
        <sz val="11"/>
        <color rgb="FF2E414F"/>
        <rFont val="Roboto"/>
        <charset val="1"/>
      </rPr>
      <t>Environmental science &amp; technology</t>
    </r>
    <r>
      <rPr>
        <sz val="11"/>
        <color rgb="FF2E414F"/>
        <rFont val="Roboto"/>
        <charset val="1"/>
      </rPr>
      <t>.</t>
    </r>
  </si>
  <si>
    <t>Total results</t>
  </si>
  <si>
    <t>spatial extent</t>
  </si>
  <si>
    <t>overlap with someone else?</t>
  </si>
  <si>
    <t>annual, seasonal, monthly</t>
  </si>
  <si>
    <r>
      <t>Zhang, X., Wang, K., Frassl, M. A., &amp; Boehrer, B. (2020). Reconstructing six decades of surface temperatures at a shallow lake. </t>
    </r>
    <r>
      <rPr>
        <i/>
        <sz val="10"/>
        <color rgb="FF222222"/>
        <rFont val="Arial"/>
        <family val="2"/>
        <charset val="1"/>
      </rPr>
      <t>Water</t>
    </r>
    <r>
      <rPr>
        <sz val="10"/>
        <color rgb="FF222222"/>
        <rFont val="Arial"/>
        <family val="2"/>
        <charset val="1"/>
      </rPr>
      <t>, </t>
    </r>
    <r>
      <rPr>
        <i/>
        <sz val="10"/>
        <color rgb="FF222222"/>
        <rFont val="Arial"/>
        <family val="2"/>
        <charset val="1"/>
      </rPr>
      <t>12</t>
    </r>
    <r>
      <rPr>
        <sz val="10"/>
        <color rgb="FF222222"/>
        <rFont val="Arial"/>
        <family val="2"/>
        <charset val="1"/>
      </rPr>
      <t>(2), 405.</t>
    </r>
  </si>
  <si>
    <r>
      <t>Shi, Y., Huang, A., Wu, Y., Lazhu, &amp; Wen, L. (2024). Trends of Summer Lake Surface Water Temperature on the Tibetan Plateau and Their Response to Climate Change. </t>
    </r>
    <r>
      <rPr>
        <i/>
        <sz val="10"/>
        <color rgb="FF222222"/>
        <rFont val="Arial"/>
        <family val="2"/>
        <charset val="1"/>
      </rPr>
      <t>Earth and Space Science</t>
    </r>
    <r>
      <rPr>
        <sz val="10"/>
        <color rgb="FF222222"/>
        <rFont val="Arial"/>
        <family val="2"/>
        <charset val="1"/>
      </rPr>
      <t>, </t>
    </r>
    <r>
      <rPr>
        <i/>
        <sz val="10"/>
        <color rgb="FF222222"/>
        <rFont val="Arial"/>
        <family val="2"/>
        <charset val="1"/>
      </rPr>
      <t>11</t>
    </r>
    <r>
      <rPr>
        <sz val="10"/>
        <color rgb="FF222222"/>
        <rFont val="Arial"/>
        <family val="2"/>
        <charset val="1"/>
      </rPr>
      <t>(12), e2024EA003910.</t>
    </r>
  </si>
  <si>
    <t>"lake surface temperature" "cooling" in google scholar</t>
  </si>
  <si>
    <t>overlap with other search term?</t>
  </si>
  <si>
    <t>screening step--does it have LSWT rate?</t>
  </si>
  <si>
    <t>NOTE: crossed off entries below mean they were included in the analysis above</t>
  </si>
  <si>
    <r>
      <t>Zhang, G., Yao, T., Xie, H., Qin, J., Ye, Q., Dai, Y., &amp; Guo, R. (2014). Estimating surface temperature changes of lakes in the Tibetan Plateau using MODIS LST data. </t>
    </r>
    <r>
      <rPr>
        <i/>
        <strike/>
        <sz val="10"/>
        <color rgb="FF222222"/>
        <rFont val="Arial"/>
        <family val="2"/>
        <charset val="1"/>
      </rPr>
      <t>Journal of Geophysical Research: Atmospheres</t>
    </r>
    <r>
      <rPr>
        <strike/>
        <sz val="10"/>
        <color rgb="FF222222"/>
        <rFont val="Arial"/>
        <family val="2"/>
        <charset val="1"/>
      </rPr>
      <t>, </t>
    </r>
    <r>
      <rPr>
        <i/>
        <strike/>
        <sz val="10"/>
        <color rgb="FF222222"/>
        <rFont val="Arial"/>
        <family val="2"/>
        <charset val="1"/>
      </rPr>
      <t>119</t>
    </r>
    <r>
      <rPr>
        <strike/>
        <sz val="10"/>
        <color rgb="FF222222"/>
        <rFont val="Arial"/>
        <family val="2"/>
        <charset val="1"/>
      </rPr>
      <t>(14), 8552-8567.</t>
    </r>
  </si>
  <si>
    <t>yes overlap below</t>
  </si>
  <si>
    <t>yes</t>
  </si>
  <si>
    <r>
      <t>Xie, C., Zhang, X., Zhuang, L., Zhu, R., &amp; Guo, J. (2022). Analysis of surface temperature variation of lakes in China using MODIS land surface temperature data. </t>
    </r>
    <r>
      <rPr>
        <i/>
        <strike/>
        <sz val="10"/>
        <color rgb="FF222222"/>
        <rFont val="Arial"/>
        <family val="2"/>
        <charset val="1"/>
      </rPr>
      <t>Scientific Reports</t>
    </r>
    <r>
      <rPr>
        <strike/>
        <sz val="10"/>
        <color rgb="FF222222"/>
        <rFont val="Arial"/>
        <family val="2"/>
        <charset val="1"/>
      </rPr>
      <t>, </t>
    </r>
    <r>
      <rPr>
        <i/>
        <strike/>
        <sz val="10"/>
        <color rgb="FF222222"/>
        <rFont val="Arial"/>
        <family val="2"/>
        <charset val="1"/>
      </rPr>
      <t>12</t>
    </r>
    <r>
      <rPr>
        <strike/>
        <sz val="10"/>
        <color rgb="FF222222"/>
        <rFont val="Arial"/>
        <family val="2"/>
        <charset val="1"/>
      </rPr>
      <t>(1), 2415.</t>
    </r>
  </si>
  <si>
    <t>yes overlap with below, MS, and OR</t>
  </si>
  <si>
    <r>
      <t>Song, K., Wang, M., Du, J., Yuan, Y., Ma, J., Wang, M., &amp; Mu, G. (2016). Spatiotemporal variations of lake surface temperature across the Tibetan Plateau using MODIS LST product. </t>
    </r>
    <r>
      <rPr>
        <i/>
        <strike/>
        <sz val="10"/>
        <color rgb="FF222222"/>
        <rFont val="Arial"/>
        <family val="2"/>
        <charset val="1"/>
      </rPr>
      <t>Remote Sensing</t>
    </r>
    <r>
      <rPr>
        <strike/>
        <sz val="10"/>
        <color rgb="FF222222"/>
        <rFont val="Arial"/>
        <family val="2"/>
        <charset val="1"/>
      </rPr>
      <t>, </t>
    </r>
    <r>
      <rPr>
        <i/>
        <strike/>
        <sz val="10"/>
        <color rgb="FF222222"/>
        <rFont val="Arial"/>
        <family val="2"/>
        <charset val="1"/>
      </rPr>
      <t>8</t>
    </r>
    <r>
      <rPr>
        <strike/>
        <sz val="10"/>
        <color rgb="FF222222"/>
        <rFont val="Arial"/>
        <family val="2"/>
        <charset val="1"/>
      </rPr>
      <t>(10), 854.</t>
    </r>
  </si>
  <si>
    <t>yes overlap with below</t>
  </si>
  <si>
    <r>
      <t>Zhang, X., Wang, K., Frassl, M. A., &amp; Boehrer, B. (2020). Reconstructing six decades of surface temperatures at a shallow lake. </t>
    </r>
    <r>
      <rPr>
        <i/>
        <strike/>
        <sz val="10"/>
        <color rgb="FF222222"/>
        <rFont val="Arial"/>
        <family val="2"/>
        <charset val="1"/>
      </rPr>
      <t>Water</t>
    </r>
    <r>
      <rPr>
        <strike/>
        <sz val="10"/>
        <color rgb="FF222222"/>
        <rFont val="Arial"/>
        <family val="2"/>
        <charset val="1"/>
      </rPr>
      <t>, </t>
    </r>
    <r>
      <rPr>
        <i/>
        <strike/>
        <sz val="10"/>
        <color rgb="FF222222"/>
        <rFont val="Arial"/>
        <family val="2"/>
        <charset val="1"/>
      </rPr>
      <t>12</t>
    </r>
    <r>
      <rPr>
        <strike/>
        <sz val="10"/>
        <color rgb="FF222222"/>
        <rFont val="Arial"/>
        <family val="2"/>
        <charset val="1"/>
      </rPr>
      <t>(2), 405.</t>
    </r>
  </si>
  <si>
    <t>yes overlap below and with MS</t>
  </si>
  <si>
    <t>yes overlap below, and with MS and OR</t>
  </si>
  <si>
    <t>NO, useful review but does not report trends in LSWT</t>
  </si>
  <si>
    <r>
      <t>Shi, Q., &amp; Xue, P. (2019). Impact of lake surface temperature variations on lake effect snow over the Great Lakes region. </t>
    </r>
    <r>
      <rPr>
        <i/>
        <sz val="10"/>
        <color rgb="FF222222"/>
        <rFont val="Arial"/>
        <family val="2"/>
        <charset val="1"/>
      </rPr>
      <t>Journal of Geophysical Research: Atmospheres</t>
    </r>
    <r>
      <rPr>
        <sz val="10"/>
        <color rgb="FF222222"/>
        <rFont val="Arial"/>
        <family val="2"/>
        <charset val="1"/>
      </rPr>
      <t>, </t>
    </r>
    <r>
      <rPr>
        <i/>
        <sz val="10"/>
        <color rgb="FF222222"/>
        <rFont val="Arial"/>
        <family val="2"/>
        <charset val="1"/>
      </rPr>
      <t>124</t>
    </r>
    <r>
      <rPr>
        <sz val="10"/>
        <color rgb="FF222222"/>
        <rFont val="Arial"/>
        <family val="2"/>
        <charset val="1"/>
      </rPr>
      <t>(23), 12553-12567.</t>
    </r>
  </si>
  <si>
    <t>no</t>
  </si>
  <si>
    <t xml:space="preserve">no </t>
  </si>
  <si>
    <r>
      <t>Sima, S., Ahmadalipour, A., &amp; Tajrishy, M. (2013). Mapping surface temperature in a hyper-saline lake and investigating the effect of temperature distribution on the lake evaporation. </t>
    </r>
    <r>
      <rPr>
        <i/>
        <sz val="10"/>
        <color rgb="FF222222"/>
        <rFont val="Arial"/>
        <family val="2"/>
        <charset val="1"/>
      </rPr>
      <t>Remote Sensing of Environment</t>
    </r>
    <r>
      <rPr>
        <sz val="10"/>
        <color rgb="FF222222"/>
        <rFont val="Arial"/>
        <family val="2"/>
        <charset val="1"/>
      </rPr>
      <t>, </t>
    </r>
    <r>
      <rPr>
        <i/>
        <sz val="10"/>
        <color rgb="FF222222"/>
        <rFont val="Arial"/>
        <family val="2"/>
        <charset val="1"/>
      </rPr>
      <t>136</t>
    </r>
    <r>
      <rPr>
        <sz val="10"/>
        <color rgb="FF222222"/>
        <rFont val="Arial"/>
        <family val="2"/>
        <charset val="1"/>
      </rPr>
      <t>, 374-385.</t>
    </r>
  </si>
  <si>
    <r>
      <t>Phillips, R. C., Saylor, J. R., Kaye, N. B., &amp; Gibert, J. M. (2016). A multi-lake study of seasonal variation in lake surface evaporation using MODIS satellite-derived surface temperature. </t>
    </r>
    <r>
      <rPr>
        <i/>
        <sz val="10"/>
        <color rgb="FF222222"/>
        <rFont val="Arial"/>
        <family val="2"/>
        <charset val="1"/>
      </rPr>
      <t>Limnology</t>
    </r>
    <r>
      <rPr>
        <sz val="10"/>
        <color rgb="FF222222"/>
        <rFont val="Arial"/>
        <family val="2"/>
        <charset val="1"/>
      </rPr>
      <t>, </t>
    </r>
    <r>
      <rPr>
        <i/>
        <sz val="10"/>
        <color rgb="FF222222"/>
        <rFont val="Arial"/>
        <family val="2"/>
        <charset val="1"/>
      </rPr>
      <t>17</t>
    </r>
    <r>
      <rPr>
        <sz val="10"/>
        <color rgb="FF222222"/>
        <rFont val="Arial"/>
        <family val="2"/>
        <charset val="1"/>
      </rPr>
      <t>, 273-289.</t>
    </r>
  </si>
  <si>
    <t>has nice explanation of HANTS</t>
  </si>
  <si>
    <r>
      <t>Crosman, E., Vazquez-Cuervo, J., &amp; Chin, T. M. (2017). Evaluation of the multi-scale ultra-high resolution (MUR) analysis of lake surface temperature. </t>
    </r>
    <r>
      <rPr>
        <i/>
        <strike/>
        <sz val="10"/>
        <color rgb="FF222222"/>
        <rFont val="Arial"/>
        <family val="2"/>
        <charset val="1"/>
      </rPr>
      <t>Remote Sensing</t>
    </r>
    <r>
      <rPr>
        <strike/>
        <sz val="10"/>
        <color rgb="FF222222"/>
        <rFont val="Arial"/>
        <family val="2"/>
        <charset val="1"/>
      </rPr>
      <t>, </t>
    </r>
    <r>
      <rPr>
        <i/>
        <strike/>
        <sz val="10"/>
        <color rgb="FF222222"/>
        <rFont val="Arial"/>
        <family val="2"/>
        <charset val="1"/>
      </rPr>
      <t>9</t>
    </r>
    <r>
      <rPr>
        <strike/>
        <sz val="10"/>
        <color rgb="FF222222"/>
        <rFont val="Arial"/>
        <family val="2"/>
        <charset val="1"/>
      </rPr>
      <t>(7), 723.</t>
    </r>
  </si>
  <si>
    <r>
      <t>Woolway, R. I., Weyhenmeyer, G. A., Schmid, M., Dokulil, M. T., de Eyto, E., Maberly, S. C., ... &amp; Merchant, C. J. (2019). Substantial increase in minimum lake surface temperatures under climate change. </t>
    </r>
    <r>
      <rPr>
        <i/>
        <strike/>
        <sz val="10"/>
        <color rgb="FF222222"/>
        <rFont val="Arial"/>
        <family val="2"/>
        <charset val="1"/>
      </rPr>
      <t>Climatic Change</t>
    </r>
    <r>
      <rPr>
        <strike/>
        <sz val="10"/>
        <color rgb="FF222222"/>
        <rFont val="Arial"/>
        <family val="2"/>
        <charset val="1"/>
      </rPr>
      <t>, </t>
    </r>
    <r>
      <rPr>
        <i/>
        <strike/>
        <sz val="10"/>
        <color rgb="FF222222"/>
        <rFont val="Arial"/>
        <family val="2"/>
        <charset val="1"/>
      </rPr>
      <t>155</t>
    </r>
    <r>
      <rPr>
        <strike/>
        <sz val="10"/>
        <color rgb="FF222222"/>
        <rFont val="Arial"/>
        <family val="2"/>
        <charset val="1"/>
      </rPr>
      <t>, 81-94.</t>
    </r>
  </si>
  <si>
    <t>yes, with below and OR</t>
  </si>
  <si>
    <r>
      <t>Liu, G., Ou, W., Zhang, Y., Wu, T., Zhu, G., Shi, K., &amp; Qin, B. (2015). Validating and mapping surface water temperatures in Lake Taihu: Results from MODIS land surface temperature products. </t>
    </r>
    <r>
      <rPr>
        <i/>
        <strike/>
        <sz val="10"/>
        <color rgb="FF222222"/>
        <rFont val="Arial"/>
        <family val="2"/>
        <charset val="1"/>
      </rPr>
      <t>IEEE Journal of Selected Topics in Applied Earth Observations and Remote Sensing</t>
    </r>
    <r>
      <rPr>
        <strike/>
        <sz val="10"/>
        <color rgb="FF222222"/>
        <rFont val="Arial"/>
        <family val="2"/>
        <charset val="1"/>
      </rPr>
      <t>, </t>
    </r>
    <r>
      <rPr>
        <i/>
        <strike/>
        <sz val="10"/>
        <color rgb="FF222222"/>
        <rFont val="Arial"/>
        <family val="2"/>
        <charset val="1"/>
      </rPr>
      <t>8</t>
    </r>
    <r>
      <rPr>
        <strike/>
        <sz val="10"/>
        <color rgb="FF222222"/>
        <rFont val="Arial"/>
        <family val="2"/>
        <charset val="1"/>
      </rPr>
      <t>(3), 1230-1244.</t>
    </r>
  </si>
  <si>
    <t>yes, with MS</t>
  </si>
  <si>
    <r>
      <t>Layden, A., MacCallum, S. N., &amp; Merchant, C. J. (2016). Determining lake surface water temperatures worldwide using a tuned one-dimensional lake model (FLake, v1). </t>
    </r>
    <r>
      <rPr>
        <i/>
        <sz val="10"/>
        <color rgb="FF222222"/>
        <rFont val="Arial"/>
        <family val="2"/>
        <charset val="1"/>
      </rPr>
      <t>Geoscientific Model Development</t>
    </r>
    <r>
      <rPr>
        <sz val="10"/>
        <color rgb="FF222222"/>
        <rFont val="Arial"/>
        <family val="2"/>
        <charset val="1"/>
      </rPr>
      <t>, </t>
    </r>
    <r>
      <rPr>
        <i/>
        <sz val="10"/>
        <color rgb="FF222222"/>
        <rFont val="Arial"/>
        <family val="2"/>
        <charset val="1"/>
      </rPr>
      <t>9</t>
    </r>
    <r>
      <rPr>
        <sz val="10"/>
        <color rgb="FF222222"/>
        <rFont val="Arial"/>
        <family val="2"/>
        <charset val="1"/>
      </rPr>
      <t>(6), 2167-2189.</t>
    </r>
  </si>
  <si>
    <r>
      <t>Huang, L., Wang, X., Sang, Y., Tang, S., Jin, L., Yang, H., ... &amp; Zhang, Y. (2021). Optimizing lake surface water temperature simulations over large lakes in China with FLake model. </t>
    </r>
    <r>
      <rPr>
        <i/>
        <sz val="10"/>
        <color rgb="FF222222"/>
        <rFont val="Arial"/>
        <family val="2"/>
        <charset val="1"/>
      </rPr>
      <t>Earth and Space Science</t>
    </r>
    <r>
      <rPr>
        <sz val="10"/>
        <color rgb="FF222222"/>
        <rFont val="Arial"/>
        <family val="2"/>
        <charset val="1"/>
      </rPr>
      <t>, </t>
    </r>
    <r>
      <rPr>
        <i/>
        <sz val="10"/>
        <color rgb="FF222222"/>
        <rFont val="Arial"/>
        <family val="2"/>
        <charset val="1"/>
      </rPr>
      <t>8</t>
    </r>
    <r>
      <rPr>
        <sz val="10"/>
        <color rgb="FF222222"/>
        <rFont val="Arial"/>
        <family val="2"/>
        <charset val="1"/>
      </rPr>
      <t>(8), e2021EA001737.</t>
    </r>
  </si>
  <si>
    <r>
      <t>Pilla, R. M., Williamson, C. E., Zhang, J., Smyth, R. L., Lenters, J. D., Brentrup, J. A., ... &amp; Fisher, T. J. (2018). Browning‐related decreases in water transparency lead to long‐term increases in surface water temperature and thermal stratification in two small lakes. </t>
    </r>
    <r>
      <rPr>
        <i/>
        <strike/>
        <sz val="10"/>
        <color rgb="FF222222"/>
        <rFont val="Arial"/>
        <family val="2"/>
        <charset val="1"/>
      </rPr>
      <t>Journal of Geophysical Research: Biogeosciences</t>
    </r>
    <r>
      <rPr>
        <strike/>
        <sz val="10"/>
        <color rgb="FF222222"/>
        <rFont val="Arial"/>
        <family val="2"/>
        <charset val="1"/>
      </rPr>
      <t>, </t>
    </r>
    <r>
      <rPr>
        <i/>
        <strike/>
        <sz val="10"/>
        <color rgb="FF222222"/>
        <rFont val="Arial"/>
        <family val="2"/>
        <charset val="1"/>
      </rPr>
      <t>123</t>
    </r>
    <r>
      <rPr>
        <strike/>
        <sz val="10"/>
        <color rgb="FF222222"/>
        <rFont val="Arial"/>
        <family val="2"/>
        <charset val="1"/>
      </rPr>
      <t>(5), 1651-1665.</t>
    </r>
  </si>
  <si>
    <r>
      <t>Woolway, R. I., Cinque, K., de Eyto, E., DeGasperi, C., Dokulil, M., Korhonen, J., ... &amp; Weyhenmeyer, G. (2016). Lake surface temperature [in" State of the climate in 2015"]. </t>
    </r>
    <r>
      <rPr>
        <i/>
        <sz val="10"/>
        <color rgb="FF222222"/>
        <rFont val="Arial"/>
        <family val="2"/>
        <charset val="1"/>
      </rPr>
      <t>Bulletin of the American Meteorological Society</t>
    </r>
    <r>
      <rPr>
        <sz val="10"/>
        <color rgb="FF222222"/>
        <rFont val="Arial"/>
        <family val="2"/>
        <charset val="1"/>
      </rPr>
      <t>, </t>
    </r>
    <r>
      <rPr>
        <i/>
        <sz val="10"/>
        <color rgb="FF222222"/>
        <rFont val="Arial"/>
        <family val="2"/>
        <charset val="1"/>
      </rPr>
      <t>97</t>
    </r>
    <r>
      <rPr>
        <sz val="10"/>
        <color rgb="FF222222"/>
        <rFont val="Arial"/>
        <family val="2"/>
        <charset val="1"/>
      </rPr>
      <t>(8), S17-S18.</t>
    </r>
  </si>
  <si>
    <t>yes, with below</t>
  </si>
  <si>
    <t>no, since it is a summary of trends but does contain citations within</t>
  </si>
  <si>
    <r>
      <t>Dyba, K., Ermida, S., Ptak, M., Piekarczyk, J., &amp; Sojka, M. (2022). Evaluation of methods for estimating lake surface water temperature using Landsat 8. </t>
    </r>
    <r>
      <rPr>
        <i/>
        <sz val="10"/>
        <color rgb="FF222222"/>
        <rFont val="Arial"/>
        <family val="2"/>
        <charset val="1"/>
      </rPr>
      <t>Remote Sensing</t>
    </r>
    <r>
      <rPr>
        <sz val="10"/>
        <color rgb="FF222222"/>
        <rFont val="Arial"/>
        <family val="2"/>
        <charset val="1"/>
      </rPr>
      <t>, </t>
    </r>
    <r>
      <rPr>
        <i/>
        <sz val="10"/>
        <color rgb="FF222222"/>
        <rFont val="Arial"/>
        <family val="2"/>
        <charset val="1"/>
      </rPr>
      <t>14</t>
    </r>
    <r>
      <rPr>
        <sz val="10"/>
        <color rgb="FF222222"/>
        <rFont val="Arial"/>
        <family val="2"/>
        <charset val="1"/>
      </rPr>
      <t>(15), 3839.</t>
    </r>
  </si>
  <si>
    <t>yes, with MS and OR</t>
  </si>
  <si>
    <r>
      <t>Gu, H., Jin, J., Wu, Y., Ek, M. B., &amp; Subin, Z. M. (2015). Calibration and validation of lake surface temperature simulations with the coupled WRF-lake model. </t>
    </r>
    <r>
      <rPr>
        <i/>
        <sz val="10"/>
        <color rgb="FF222222"/>
        <rFont val="Arial"/>
        <family val="2"/>
        <charset val="1"/>
      </rPr>
      <t>Climatic Change</t>
    </r>
    <r>
      <rPr>
        <sz val="10"/>
        <color rgb="FF222222"/>
        <rFont val="Arial"/>
        <family val="2"/>
        <charset val="1"/>
      </rPr>
      <t>, </t>
    </r>
    <r>
      <rPr>
        <i/>
        <sz val="10"/>
        <color rgb="FF222222"/>
        <rFont val="Arial"/>
        <family val="2"/>
        <charset val="1"/>
      </rPr>
      <t>129</t>
    </r>
    <r>
      <rPr>
        <sz val="10"/>
        <color rgb="FF222222"/>
        <rFont val="Arial"/>
        <family val="2"/>
        <charset val="1"/>
      </rPr>
      <t>, 471-483.</t>
    </r>
  </si>
  <si>
    <r>
      <t>Kettle, H., Thompson, R., Anderson, N. J., &amp; Livingstone, D. M. (2004). Empirical modeling of summer lake surface temperatures in southwest Greenland. </t>
    </r>
    <r>
      <rPr>
        <i/>
        <sz val="10"/>
        <color rgb="FF222222"/>
        <rFont val="Arial"/>
        <family val="2"/>
        <charset val="1"/>
      </rPr>
      <t>Limnology and oceanography</t>
    </r>
    <r>
      <rPr>
        <sz val="10"/>
        <color rgb="FF222222"/>
        <rFont val="Arial"/>
        <family val="2"/>
        <charset val="1"/>
      </rPr>
      <t>, </t>
    </r>
    <r>
      <rPr>
        <i/>
        <sz val="10"/>
        <color rgb="FF222222"/>
        <rFont val="Arial"/>
        <family val="2"/>
        <charset val="1"/>
      </rPr>
      <t>49</t>
    </r>
    <r>
      <rPr>
        <sz val="10"/>
        <color rgb="FF222222"/>
        <rFont val="Arial"/>
        <family val="2"/>
        <charset val="1"/>
      </rPr>
      <t>(1), 271-282.</t>
    </r>
  </si>
  <si>
    <r>
      <t>Shi, Y., Huang, A., Wu, Y., Lazhu, &amp; Wen, L. (2024). Trends of Summer Lake Surface Water Temperature on the Tibetan Plateau and Their Response to Climate Change. </t>
    </r>
    <r>
      <rPr>
        <i/>
        <strike/>
        <sz val="10"/>
        <color rgb="FF222222"/>
        <rFont val="Arial"/>
        <family val="2"/>
        <charset val="1"/>
      </rPr>
      <t>Earth and Space Science</t>
    </r>
    <r>
      <rPr>
        <strike/>
        <sz val="10"/>
        <color rgb="FF222222"/>
        <rFont val="Arial"/>
        <family val="2"/>
        <charset val="1"/>
      </rPr>
      <t>, </t>
    </r>
    <r>
      <rPr>
        <i/>
        <strike/>
        <sz val="10"/>
        <color rgb="FF222222"/>
        <rFont val="Arial"/>
        <family val="2"/>
        <charset val="1"/>
      </rPr>
      <t>11</t>
    </r>
    <r>
      <rPr>
        <strike/>
        <sz val="10"/>
        <color rgb="FF222222"/>
        <rFont val="Arial"/>
        <family val="2"/>
        <charset val="1"/>
      </rPr>
      <t>(12), e2024EA003910.</t>
    </r>
  </si>
  <si>
    <t>yes, with below and MS and OR</t>
  </si>
  <si>
    <r>
      <t>Kourzeneva, E. (2014). Assimilation of lake water surface temperature observations using an extended Kalman filter. </t>
    </r>
    <r>
      <rPr>
        <i/>
        <sz val="10"/>
        <color rgb="FF222222"/>
        <rFont val="Arial"/>
        <family val="2"/>
        <charset val="1"/>
      </rPr>
      <t>Tellus A: Dynamic Meteorology and Oceanography</t>
    </r>
    <r>
      <rPr>
        <sz val="10"/>
        <color rgb="FF222222"/>
        <rFont val="Arial"/>
        <family val="2"/>
        <charset val="1"/>
      </rPr>
      <t>, </t>
    </r>
    <r>
      <rPr>
        <i/>
        <sz val="10"/>
        <color rgb="FF222222"/>
        <rFont val="Arial"/>
        <family val="2"/>
        <charset val="1"/>
      </rPr>
      <t>66</t>
    </r>
    <r>
      <rPr>
        <sz val="10"/>
        <color rgb="FF222222"/>
        <rFont val="Arial"/>
        <family val="2"/>
        <charset val="1"/>
      </rPr>
      <t>(1), 21510.</t>
    </r>
  </si>
  <si>
    <r>
      <t>Huang, L., Wang, X., Yan, Y., Jin, L., Yang, K., Chen, A., ... &amp; Piao, S. (2023). Attribution of lake surface water temperature change in large lakes across China over past four decades. </t>
    </r>
    <r>
      <rPr>
        <i/>
        <strike/>
        <sz val="10"/>
        <color rgb="FF222222"/>
        <rFont val="Arial"/>
        <family val="2"/>
        <charset val="1"/>
      </rPr>
      <t>Journal of Geophysical Research: Atmospheres</t>
    </r>
    <r>
      <rPr>
        <strike/>
        <sz val="10"/>
        <color rgb="FF222222"/>
        <rFont val="Arial"/>
        <family val="2"/>
        <charset val="1"/>
      </rPr>
      <t>, </t>
    </r>
    <r>
      <rPr>
        <i/>
        <strike/>
        <sz val="10"/>
        <color rgb="FF222222"/>
        <rFont val="Arial"/>
        <family val="2"/>
        <charset val="1"/>
      </rPr>
      <t>128</t>
    </r>
    <r>
      <rPr>
        <strike/>
        <sz val="10"/>
        <color rgb="FF222222"/>
        <rFont val="Arial"/>
        <family val="2"/>
        <charset val="1"/>
      </rPr>
      <t>(21), e2022JD038465.</t>
    </r>
  </si>
  <si>
    <t>yes, with below, and MS and OR</t>
  </si>
  <si>
    <r>
      <t>Balsamo, G., Salgado, R., Dutra, E., Boussetta, S., Stockdale, T., &amp; Potes, M. (2012). On the contribution of lakes in predicting near-surface temperature in a global weather forecasting model. </t>
    </r>
    <r>
      <rPr>
        <i/>
        <sz val="10"/>
        <color rgb="FF222222"/>
        <rFont val="Arial"/>
        <family val="2"/>
        <charset val="1"/>
      </rPr>
      <t>Tellus A: Dynamic Meteorology and Oceanography</t>
    </r>
    <r>
      <rPr>
        <sz val="10"/>
        <color rgb="FF222222"/>
        <rFont val="Arial"/>
        <family val="2"/>
        <charset val="1"/>
      </rPr>
      <t>, </t>
    </r>
    <r>
      <rPr>
        <i/>
        <sz val="10"/>
        <color rgb="FF222222"/>
        <rFont val="Arial"/>
        <family val="2"/>
        <charset val="1"/>
      </rPr>
      <t>64</t>
    </r>
    <r>
      <rPr>
        <sz val="10"/>
        <color rgb="FF222222"/>
        <rFont val="Arial"/>
        <family val="2"/>
        <charset val="1"/>
      </rPr>
      <t>(1), 15829.</t>
    </r>
  </si>
  <si>
    <r>
      <t>Tong, Y., Feng, L., Wang, X., Pi, X., Xu, W., &amp; Woolway, R. I. (2023). Global lakes are warming slower than surface air temperature due to accelerated evaporation. </t>
    </r>
    <r>
      <rPr>
        <i/>
        <strike/>
        <sz val="10"/>
        <color rgb="FF222222"/>
        <rFont val="Arial"/>
        <family val="2"/>
        <charset val="1"/>
      </rPr>
      <t>Nature Water</t>
    </r>
    <r>
      <rPr>
        <strike/>
        <sz val="10"/>
        <color rgb="FF222222"/>
        <rFont val="Arial"/>
        <family val="2"/>
        <charset val="1"/>
      </rPr>
      <t>, </t>
    </r>
    <r>
      <rPr>
        <i/>
        <strike/>
        <sz val="10"/>
        <color rgb="FF222222"/>
        <rFont val="Arial"/>
        <family val="2"/>
        <charset val="1"/>
      </rPr>
      <t>1</t>
    </r>
    <r>
      <rPr>
        <strike/>
        <sz val="10"/>
        <color rgb="FF222222"/>
        <rFont val="Arial"/>
        <family val="2"/>
        <charset val="1"/>
      </rPr>
      <t>(11), 929-940.</t>
    </r>
  </si>
  <si>
    <r>
      <t>Prats, J., Reynaud, N., Rebière, D., Peroux, T., Tormos, T., &amp; Danis, P. A. (2018). LakeSST: Lake Skin Surface Temperature in French inland water bodies for 1999–2016 from Landsat archives. </t>
    </r>
    <r>
      <rPr>
        <i/>
        <sz val="10"/>
        <color rgb="FF222222"/>
        <rFont val="Arial"/>
        <family val="2"/>
        <charset val="1"/>
      </rPr>
      <t>Earth System Science Data</t>
    </r>
    <r>
      <rPr>
        <sz val="10"/>
        <color rgb="FF222222"/>
        <rFont val="Arial"/>
        <family val="2"/>
        <charset val="1"/>
      </rPr>
      <t>, </t>
    </r>
    <r>
      <rPr>
        <i/>
        <sz val="10"/>
        <color rgb="FF222222"/>
        <rFont val="Arial"/>
        <family val="2"/>
        <charset val="1"/>
      </rPr>
      <t>10</t>
    </r>
    <r>
      <rPr>
        <sz val="10"/>
        <color rgb="FF222222"/>
        <rFont val="Arial"/>
        <family val="2"/>
        <charset val="1"/>
      </rPr>
      <t>(2), 727-743.</t>
    </r>
  </si>
  <si>
    <t>yes, with OR</t>
  </si>
  <si>
    <r>
      <t>Ma, X., Yang, K., Wang, B., Li, Z., Lazhu, Lu, H., ... &amp; Chen, X. (2024). Strong Skin Cooling and Its Impacts on Lake Thermal Processes in a Large Lake on the Tibetan Plateau. </t>
    </r>
    <r>
      <rPr>
        <i/>
        <sz val="10"/>
        <color rgb="FF222222"/>
        <rFont val="Arial"/>
        <family val="2"/>
        <charset val="1"/>
      </rPr>
      <t>Journal of Hydrometeorology</t>
    </r>
    <r>
      <rPr>
        <sz val="10"/>
        <color rgb="FF222222"/>
        <rFont val="Arial"/>
        <family val="2"/>
        <charset val="1"/>
      </rPr>
      <t>, </t>
    </r>
    <r>
      <rPr>
        <i/>
        <sz val="10"/>
        <color rgb="FF222222"/>
        <rFont val="Arial"/>
        <family val="2"/>
        <charset val="1"/>
      </rPr>
      <t>25</t>
    </r>
    <r>
      <rPr>
        <sz val="10"/>
        <color rgb="FF222222"/>
        <rFont val="Arial"/>
        <family val="2"/>
        <charset val="1"/>
      </rPr>
      <t>(6), 937-946.</t>
    </r>
  </si>
  <si>
    <t>overlap?</t>
  </si>
  <si>
    <t>keep?</t>
  </si>
  <si>
    <t>yes, with above</t>
  </si>
  <si>
    <r>
      <t>Jia, T., Yang, K., Peng, Z., Tang, L., Duan, H., &amp; Luo, Y. (2022). Review on the change trend, attribution analysis, retrieval, simulation, and prediction of lake surface water temperature. </t>
    </r>
    <r>
      <rPr>
        <i/>
        <strike/>
        <sz val="10"/>
        <color rgb="FF222222"/>
        <rFont val="Arial"/>
        <family val="2"/>
        <charset val="1"/>
      </rPr>
      <t>IEEE Journal of Selected Topics in Applied Earth Observations and Remote Sensing</t>
    </r>
    <r>
      <rPr>
        <strike/>
        <sz val="10"/>
        <color rgb="FF222222"/>
        <rFont val="Arial"/>
        <family val="2"/>
        <charset val="1"/>
      </rPr>
      <t>, </t>
    </r>
    <r>
      <rPr>
        <i/>
        <strike/>
        <sz val="10"/>
        <color rgb="FF222222"/>
        <rFont val="Arial"/>
        <family val="2"/>
        <charset val="1"/>
      </rPr>
      <t>15</t>
    </r>
    <r>
      <rPr>
        <strike/>
        <sz val="10"/>
        <color rgb="FF222222"/>
        <rFont val="Arial"/>
        <family val="2"/>
        <charset val="1"/>
      </rPr>
      <t>, 6324-6355.</t>
    </r>
  </si>
  <si>
    <t>with above</t>
  </si>
  <si>
    <t>NO</t>
  </si>
  <si>
    <r>
      <t>Peng, Z., Yang, J., Luo, Y., Yang, K., &amp; Shang, C. (2021). Impact of climate warming on the surface water temperature of plateau lake. </t>
    </r>
    <r>
      <rPr>
        <i/>
        <sz val="10"/>
        <color rgb="FF222222"/>
        <rFont val="Arial"/>
        <family val="2"/>
        <charset val="1"/>
      </rPr>
      <t>Acta Geophysica</t>
    </r>
    <r>
      <rPr>
        <sz val="10"/>
        <color rgb="FF222222"/>
        <rFont val="Arial"/>
        <family val="2"/>
        <charset val="1"/>
      </rPr>
      <t>, </t>
    </r>
    <r>
      <rPr>
        <i/>
        <sz val="10"/>
        <color rgb="FF222222"/>
        <rFont val="Arial"/>
        <family val="2"/>
        <charset val="1"/>
      </rPr>
      <t>69</t>
    </r>
    <r>
      <rPr>
        <sz val="10"/>
        <color rgb="FF222222"/>
        <rFont val="Arial"/>
        <family val="2"/>
        <charset val="1"/>
      </rPr>
      <t>, 895-907.</t>
    </r>
  </si>
  <si>
    <r>
      <t>Piccolroaz, S., Healey, N. C., Lenters, J. D., Schladow, S. G., Hook, S. J., Sahoo, G. B., &amp; Toffolon, M. (2018). On the predictability of lake surface temperature using air temperature in a changing climate: A case study for Lake Tahoe (USA). </t>
    </r>
    <r>
      <rPr>
        <i/>
        <sz val="10"/>
        <color rgb="FF222222"/>
        <rFont val="Arial"/>
        <family val="2"/>
        <charset val="1"/>
      </rPr>
      <t>Limnology and oceanography</t>
    </r>
    <r>
      <rPr>
        <sz val="10"/>
        <color rgb="FF222222"/>
        <rFont val="Arial"/>
        <family val="2"/>
        <charset val="1"/>
      </rPr>
      <t>, </t>
    </r>
    <r>
      <rPr>
        <i/>
        <sz val="10"/>
        <color rgb="FF222222"/>
        <rFont val="Arial"/>
        <family val="2"/>
        <charset val="1"/>
      </rPr>
      <t>63</t>
    </r>
    <r>
      <rPr>
        <sz val="10"/>
        <color rgb="FF222222"/>
        <rFont val="Arial"/>
        <family val="2"/>
        <charset val="1"/>
      </rPr>
      <t>(1), 243-261.</t>
    </r>
  </si>
  <si>
    <r>
      <t>Brkić, Ž. (2023). Increasing water temperature of the largest freshwater lake on the Mediterranean islands as an indicator of global warming. </t>
    </r>
    <r>
      <rPr>
        <i/>
        <sz val="10"/>
        <color rgb="FF222222"/>
        <rFont val="Arial"/>
        <family val="2"/>
        <charset val="1"/>
      </rPr>
      <t>Heliyon</t>
    </r>
    <r>
      <rPr>
        <sz val="10"/>
        <color rgb="FF222222"/>
        <rFont val="Arial"/>
        <family val="2"/>
        <charset val="1"/>
      </rPr>
      <t>, </t>
    </r>
    <r>
      <rPr>
        <i/>
        <sz val="10"/>
        <color rgb="FF222222"/>
        <rFont val="Arial"/>
        <family val="2"/>
        <charset val="1"/>
      </rPr>
      <t>9</t>
    </r>
    <r>
      <rPr>
        <sz val="10"/>
        <color rgb="FF222222"/>
        <rFont val="Arial"/>
        <family val="2"/>
        <charset val="1"/>
      </rPr>
      <t>(8).</t>
    </r>
  </si>
  <si>
    <r>
      <t>Kraemer, B. M., Chandra, S., Dell, A. I., Dix, M., Kuusisto, E., Livingstone, D. M., ... &amp; McIntyre, P. B. (2017). Global patterns in lake ecosystem responses to warming based on the temperature dependence of metabolism. </t>
    </r>
    <r>
      <rPr>
        <i/>
        <sz val="10"/>
        <color rgb="FF222222"/>
        <rFont val="Arial"/>
        <family val="2"/>
        <charset val="1"/>
      </rPr>
      <t>Global Change Biology</t>
    </r>
    <r>
      <rPr>
        <sz val="10"/>
        <color rgb="FF222222"/>
        <rFont val="Arial"/>
        <family val="2"/>
        <charset val="1"/>
      </rPr>
      <t>, </t>
    </r>
    <r>
      <rPr>
        <i/>
        <sz val="10"/>
        <color rgb="FF222222"/>
        <rFont val="Arial"/>
        <family val="2"/>
        <charset val="1"/>
      </rPr>
      <t>23</t>
    </r>
    <r>
      <rPr>
        <sz val="10"/>
        <color rgb="FF222222"/>
        <rFont val="Arial"/>
        <family val="2"/>
        <charset val="1"/>
      </rPr>
      <t>(5), 1881-1890.</t>
    </r>
  </si>
  <si>
    <r>
      <t>Wang, X., Shi, K., Zhang, Y., Qin, B., Zhang, Y., Wang, W., ... &amp; Jeppesen, E. (2023). Climate change drives rapid warming and increasing heatwaves of lakes. </t>
    </r>
    <r>
      <rPr>
        <i/>
        <sz val="10"/>
        <color rgb="FF222222"/>
        <rFont val="Arial"/>
        <family val="2"/>
        <charset val="1"/>
      </rPr>
      <t>Science bulletin</t>
    </r>
    <r>
      <rPr>
        <sz val="10"/>
        <color rgb="FF222222"/>
        <rFont val="Arial"/>
        <family val="2"/>
        <charset val="1"/>
      </rPr>
      <t>, </t>
    </r>
    <r>
      <rPr>
        <i/>
        <sz val="10"/>
        <color rgb="FF222222"/>
        <rFont val="Arial"/>
        <family val="2"/>
        <charset val="1"/>
      </rPr>
      <t>68</t>
    </r>
    <r>
      <rPr>
        <sz val="10"/>
        <color rgb="FF222222"/>
        <rFont val="Arial"/>
        <family val="2"/>
        <charset val="1"/>
      </rPr>
      <t>(14), 1574-1584.</t>
    </r>
  </si>
  <si>
    <t xml:space="preserve">yes, with below </t>
  </si>
  <si>
    <r>
      <t>Winslow, L. A., Leach, T. H., &amp; Rose, K. C. (2018). Global lake response to the recent warming hiatus. </t>
    </r>
    <r>
      <rPr>
        <i/>
        <sz val="10"/>
        <color rgb="FF222222"/>
        <rFont val="Arial"/>
        <family val="2"/>
        <charset val="1"/>
      </rPr>
      <t>Environmental Research Letters</t>
    </r>
    <r>
      <rPr>
        <sz val="10"/>
        <color rgb="FF222222"/>
        <rFont val="Arial"/>
        <family val="2"/>
        <charset val="1"/>
      </rPr>
      <t>, </t>
    </r>
    <r>
      <rPr>
        <i/>
        <sz val="10"/>
        <color rgb="FF222222"/>
        <rFont val="Arial"/>
        <family val="2"/>
        <charset val="1"/>
      </rPr>
      <t>13</t>
    </r>
    <r>
      <rPr>
        <sz val="10"/>
        <color rgb="FF222222"/>
        <rFont val="Arial"/>
        <family val="2"/>
        <charset val="1"/>
      </rPr>
      <t>(5), 054005.</t>
    </r>
  </si>
  <si>
    <r>
      <t>Wang, W., Shi, K., Wang, X., Zhang, Y., Qin, B., Zhang, Y., &amp; Woolway, R. I. (2024). The impact of extreme heat on lake warming in China. </t>
    </r>
    <r>
      <rPr>
        <i/>
        <sz val="10"/>
        <color rgb="FF222222"/>
        <rFont val="Arial"/>
        <family val="2"/>
        <charset val="1"/>
      </rPr>
      <t>nature communications</t>
    </r>
    <r>
      <rPr>
        <sz val="10"/>
        <color rgb="FF222222"/>
        <rFont val="Arial"/>
        <family val="2"/>
        <charset val="1"/>
      </rPr>
      <t>, </t>
    </r>
    <r>
      <rPr>
        <i/>
        <sz val="10"/>
        <color rgb="FF222222"/>
        <rFont val="Arial"/>
        <family val="2"/>
        <charset val="1"/>
      </rPr>
      <t>15</t>
    </r>
    <r>
      <rPr>
        <sz val="10"/>
        <color rgb="FF222222"/>
        <rFont val="Arial"/>
        <family val="2"/>
        <charset val="1"/>
      </rPr>
      <t>(1), 70.</t>
    </r>
  </si>
  <si>
    <r>
      <t>Li, Y., Shi, K., Zhang, Y., Zhu, G., Guo, Y., Li, H., &amp; Du, C. (2022). Warming lake surface water temperatures in Lake Qiandaohu, China: Spatiotemporal variations, influencing factors and implications for the thermal structure. </t>
    </r>
    <r>
      <rPr>
        <i/>
        <sz val="10"/>
        <color rgb="FF222222"/>
        <rFont val="Arial"/>
        <family val="2"/>
        <charset val="1"/>
      </rPr>
      <t>Frontiers in Environmental Science</t>
    </r>
    <r>
      <rPr>
        <sz val="10"/>
        <color rgb="FF222222"/>
        <rFont val="Arial"/>
        <family val="2"/>
        <charset val="1"/>
      </rPr>
      <t>, </t>
    </r>
    <r>
      <rPr>
        <i/>
        <sz val="10"/>
        <color rgb="FF222222"/>
        <rFont val="Arial"/>
        <family val="2"/>
        <charset val="1"/>
      </rPr>
      <t>10</t>
    </r>
    <r>
      <rPr>
        <sz val="10"/>
        <color rgb="FF222222"/>
        <rFont val="Arial"/>
        <family val="2"/>
        <charset val="1"/>
      </rPr>
      <t>, 995862.</t>
    </r>
  </si>
  <si>
    <r>
      <t>Schmid, M., Hunziker, S., &amp; Wüest, A. (2014). Lake surface temperatures in a changing climate: a global sensitivity analysis. </t>
    </r>
    <r>
      <rPr>
        <i/>
        <sz val="10"/>
        <color rgb="FF222222"/>
        <rFont val="Arial"/>
        <family val="2"/>
        <charset val="1"/>
      </rPr>
      <t>Climatic change</t>
    </r>
    <r>
      <rPr>
        <sz val="10"/>
        <color rgb="FF222222"/>
        <rFont val="Arial"/>
        <family val="2"/>
        <charset val="1"/>
      </rPr>
      <t>, </t>
    </r>
    <r>
      <rPr>
        <i/>
        <sz val="10"/>
        <color rgb="FF222222"/>
        <rFont val="Arial"/>
        <family val="2"/>
        <charset val="1"/>
      </rPr>
      <t>124</t>
    </r>
    <r>
      <rPr>
        <sz val="10"/>
        <color rgb="FF222222"/>
        <rFont val="Arial"/>
        <family val="2"/>
        <charset val="1"/>
      </rPr>
      <t>, 301-315.</t>
    </r>
  </si>
  <si>
    <r>
      <t>Woolway, R. I., Cinque, K., de Eyto, E., DeGasperi, C., Dokulil, M., Korhonen, J., ... &amp; Weyhenmeyer, G. (2016). Lake surface temperature [in" State of the climate in 2015"]. </t>
    </r>
    <r>
      <rPr>
        <i/>
        <strike/>
        <sz val="10"/>
        <color rgb="FF222222"/>
        <rFont val="Arial"/>
        <family val="2"/>
        <charset val="1"/>
      </rPr>
      <t>Bulletin of the American Meteorological Society</t>
    </r>
    <r>
      <rPr>
        <strike/>
        <sz val="10"/>
        <color rgb="FF222222"/>
        <rFont val="Arial"/>
        <family val="2"/>
        <charset val="1"/>
      </rPr>
      <t>, </t>
    </r>
    <r>
      <rPr>
        <i/>
        <strike/>
        <sz val="10"/>
        <color rgb="FF222222"/>
        <rFont val="Arial"/>
        <family val="2"/>
        <charset val="1"/>
      </rPr>
      <t>97</t>
    </r>
    <r>
      <rPr>
        <strike/>
        <sz val="10"/>
        <color rgb="FF222222"/>
        <rFont val="Arial"/>
        <family val="2"/>
        <charset val="1"/>
      </rPr>
      <t>(8), S17-S18.</t>
    </r>
  </si>
  <si>
    <r>
      <t>Lang, J., Ma, Y., Li, Z., &amp; Su, D. (2021). The impact of climate warming on lake surface heat exchange and ice phenology of different types of lakes on the Tibetan Plateau. </t>
    </r>
    <r>
      <rPr>
        <i/>
        <sz val="10"/>
        <color rgb="FF222222"/>
        <rFont val="Arial"/>
        <family val="2"/>
        <charset val="1"/>
      </rPr>
      <t>Water</t>
    </r>
    <r>
      <rPr>
        <sz val="10"/>
        <color rgb="FF222222"/>
        <rFont val="Arial"/>
        <family val="2"/>
        <charset val="1"/>
      </rPr>
      <t>, </t>
    </r>
    <r>
      <rPr>
        <i/>
        <sz val="10"/>
        <color rgb="FF222222"/>
        <rFont val="Arial"/>
        <family val="2"/>
        <charset val="1"/>
      </rPr>
      <t>13</t>
    </r>
    <r>
      <rPr>
        <sz val="10"/>
        <color rgb="FF222222"/>
        <rFont val="Arial"/>
        <family val="2"/>
        <charset val="1"/>
      </rPr>
      <t>(5), 634.</t>
    </r>
  </si>
  <si>
    <r>
      <t>Luo, Y., Tang, L., Yang, K., Zhou, X., Liu, J., Zhang, Y., &amp; Peng, Z. (2023). Investigating the warming effect of urban expansion on lake surface water temperature in the Dianchi lake watershed. </t>
    </r>
    <r>
      <rPr>
        <i/>
        <sz val="10"/>
        <color rgb="FF222222"/>
        <rFont val="Arial"/>
        <family val="2"/>
        <charset val="1"/>
      </rPr>
      <t>Journal of Hydrology: Regional Studies</t>
    </r>
    <r>
      <rPr>
        <sz val="10"/>
        <color rgb="FF222222"/>
        <rFont val="Arial"/>
        <family val="2"/>
        <charset val="1"/>
      </rPr>
      <t>, </t>
    </r>
    <r>
      <rPr>
        <i/>
        <sz val="10"/>
        <color rgb="FF222222"/>
        <rFont val="Arial"/>
        <family val="2"/>
        <charset val="1"/>
      </rPr>
      <t>49</t>
    </r>
    <r>
      <rPr>
        <sz val="10"/>
        <color rgb="FF222222"/>
        <rFont val="Arial"/>
        <family val="2"/>
        <charset val="1"/>
      </rPr>
      <t>, 101516.</t>
    </r>
  </si>
  <si>
    <r>
      <t>Woolway, R. I., &amp; Merchant, C. J. (2017). Amplified surface temperature response of cold, deep lakes to inter-annual air temperature variability. </t>
    </r>
    <r>
      <rPr>
        <i/>
        <sz val="10"/>
        <color rgb="FF222222"/>
        <rFont val="Arial"/>
        <family val="2"/>
        <charset val="1"/>
      </rPr>
      <t>Scientific Reports</t>
    </r>
    <r>
      <rPr>
        <sz val="10"/>
        <color rgb="FF222222"/>
        <rFont val="Arial"/>
        <family val="2"/>
        <charset val="1"/>
      </rPr>
      <t>, </t>
    </r>
    <r>
      <rPr>
        <i/>
        <sz val="10"/>
        <color rgb="FF222222"/>
        <rFont val="Arial"/>
        <family val="2"/>
        <charset val="1"/>
      </rPr>
      <t>7</t>
    </r>
    <r>
      <rPr>
        <sz val="10"/>
        <color rgb="FF222222"/>
        <rFont val="Arial"/>
        <family val="2"/>
        <charset val="1"/>
      </rPr>
      <t>(1), 4130.</t>
    </r>
  </si>
  <si>
    <r>
      <t>Winslow, L. A., Read, J. S., Hansen, G. J., Rose, K. C., &amp; Robertson, D. M. (2017). Seasonality of change: Summer warming rates do not fully represent effects of climate change on lake temperatures. </t>
    </r>
    <r>
      <rPr>
        <i/>
        <sz val="10"/>
        <color rgb="FF222222"/>
        <rFont val="Arial"/>
        <family val="2"/>
        <charset val="1"/>
      </rPr>
      <t>Limnology and Oceanography</t>
    </r>
    <r>
      <rPr>
        <sz val="10"/>
        <color rgb="FF222222"/>
        <rFont val="Arial"/>
        <family val="2"/>
        <charset val="1"/>
      </rPr>
      <t>, </t>
    </r>
    <r>
      <rPr>
        <i/>
        <sz val="10"/>
        <color rgb="FF222222"/>
        <rFont val="Arial"/>
        <family val="2"/>
        <charset val="1"/>
      </rPr>
      <t>62</t>
    </r>
    <r>
      <rPr>
        <sz val="10"/>
        <color rgb="FF222222"/>
        <rFont val="Arial"/>
        <family val="2"/>
        <charset val="1"/>
      </rPr>
      <t>(5), 2168-2178.</t>
    </r>
  </si>
  <si>
    <t>"lake surface temperature" "cooling" in scopus</t>
  </si>
  <si>
    <t>Braig E.; Welzl G.; Stichler W.; Raeder U.; Melzer A.</t>
  </si>
  <si>
    <t>Entrainment, annual circulation and groundwater inflow in a chain of lakes as inferred by stable 18O isotopic signatures in the water column</t>
  </si>
  <si>
    <t>https://www.scopus.com/inward/record.uri?eid=2-s2.0-77956960590&amp;doi=10.4081%2fjlimnol.2010.278&amp;partnerID=40&amp;md5=f8e83005e28b633d458206e496b5d25a</t>
  </si>
  <si>
    <t>Wegwerth A.; Kaiser J.; Dellwig O.; Arz H.W.</t>
  </si>
  <si>
    <t>Impact of Eurasian Ice Sheet and North Atlantic Climate Dynamics on Black Sea Temperature Variability During the Penultimate Glacial (MIS 6, 130–184 ka BP)</t>
  </si>
  <si>
    <t>Paleoceanography and Paleoclimatology</t>
  </si>
  <si>
    <t>https://www.scopus.com/inward/record.uri?eid=2-s2.0-85089778359&amp;doi=10.1029%2f2020PA003882&amp;partnerID=40&amp;md5=fc7407a25f7a5188fdf6c971f51e2fca</t>
  </si>
  <si>
    <t>Ito Y.; Momii K.</t>
  </si>
  <si>
    <t>Potential effects of climate changes on evaporation from a temperate deep lake</t>
  </si>
  <si>
    <t>https://www.scopus.com/inward/record.uri?eid=2-s2.0-85104052334&amp;doi=10.1016%2fj.ejrh.2021.100816&amp;partnerID=40&amp;md5=ff6f23fee445ab6e8f663a8ded0f8409</t>
  </si>
  <si>
    <t>Kirillin G.; Shatwell T.; Kasprzak P.</t>
  </si>
  <si>
    <t>Consequences of thermal pollution from a nuclear plant on lake temperature and mixing regime</t>
  </si>
  <si>
    <t>https://www.scopus.com/inward/record.uri?eid=2-s2.0-84878784062&amp;doi=10.1016%2fj.jhydrol.2013.05.023&amp;partnerID=40&amp;md5=a518df8fea15dc212da8512778958849</t>
  </si>
  <si>
    <t>Nagarajan B.; Yau M.K.; Schuepp P.H.</t>
  </si>
  <si>
    <t>The effects of small water bodies on the atmospheric heat and water budgets over the Mackenzie River Basin</t>
  </si>
  <si>
    <t>Hydrological Processes</t>
  </si>
  <si>
    <t>https://www.scopus.com/inward/record.uri?eid=2-s2.0-16544380915&amp;doi=10.1002%2fhyp.1338&amp;partnerID=40&amp;md5=8e9e1075e063cbb5962b62feaf628330</t>
  </si>
  <si>
    <t>Olsson F.; Mackay E.B.; Spears B.M.; Barker P.; Jones I.D.</t>
  </si>
  <si>
    <t>Interacting impacts of hydrological changes and air temperature warming on lake temperatures highlight the potential for adaptive management</t>
  </si>
  <si>
    <t>Ambio</t>
  </si>
  <si>
    <t>https://www.scopus.com/inward/record.uri?eid=2-s2.0-85194376564&amp;doi=10.1007%2fs13280-024-02015-6&amp;partnerID=40&amp;md5=725deed9161b520fb1235b0bb271cea7</t>
  </si>
  <si>
    <t>Gerard Rooney G.; Van Lipzig N.; Thiery W.</t>
  </si>
  <si>
    <t>Estimating the effect of rainfall on the surface temperature of a tropical lake</t>
  </si>
  <si>
    <t>https://www.scopus.com/inward/record.uri?eid=2-s2.0-85058335722&amp;doi=10.5194%2fhess-22-6357-2018&amp;partnerID=40&amp;md5=920e40c5b006b7fc50d9e3f4b892b893</t>
  </si>
  <si>
    <t>Hondzo M.; You J.; Taylor J.; Bartlet G.; Voller V.R.</t>
  </si>
  <si>
    <t>Measurement and Scaling of Lake Surface Skin Temperatures</t>
  </si>
  <si>
    <t>https://www.scopus.com/inward/record.uri?eid=2-s2.0-85127334204&amp;doi=10.1029%2f2021GL093226&amp;partnerID=40&amp;md5=94b30c7e6df54b875c6b7aaec012eeb0</t>
  </si>
  <si>
    <t>Šarauskienė D.</t>
  </si>
  <si>
    <t>Thermal regime database of Ignalina nuclear power plant cooler-Lake Drukšiai</t>
  </si>
  <si>
    <t>Environmental Monitoring and Assessment</t>
  </si>
  <si>
    <t>https://www.scopus.com/inward/record.uri?eid=2-s2.0-0036787420&amp;doi=10.1023%2fA%3a1020092004119&amp;partnerID=40&amp;md5=9c24dd6eed2583536ead183ada5e5064</t>
  </si>
  <si>
    <t>Zhang X.; Wang K.; Frassl M.A.; Boehrer B.</t>
  </si>
  <si>
    <t>Reconstructing six decades of surface temperatures at a Shallow lake</t>
  </si>
  <si>
    <t>https://www.scopus.com/inward/record.uri?eid=2-s2.0-85081730515&amp;doi=10.3390%2fw12020405&amp;partnerID=40&amp;md5=92400a8487bdb17e2bcc58362b9de319</t>
  </si>
  <si>
    <t>Wu Y.; Huang A.; Yang B.; Dong G.; Wen L.; Lazhu; Zhang Z.; Fu Z.; Zhu X.; Zhang X.; Cai S.</t>
  </si>
  <si>
    <t>Numerical study on the climatic effect of the lake clusters over Tibetan Plateau in summer</t>
  </si>
  <si>
    <t>Climate Dynamics</t>
  </si>
  <si>
    <t>https://www.scopus.com/inward/record.uri?eid=2-s2.0-85068176933&amp;doi=10.1007%2fs00382-019-04856-4&amp;partnerID=40&amp;md5=7f027dc6adac4f44e03b67e500c8317c</t>
  </si>
  <si>
    <t>Lofgren B.M.; Zhu Y.</t>
  </si>
  <si>
    <t>Surface energy fluxes on the Great Lakes based on satellite-observed surface temperatures 1992 to 1995</t>
  </si>
  <si>
    <t>Journal of Great Lakes Research</t>
  </si>
  <si>
    <t>https://www.scopus.com/inward/record.uri?eid=2-s2.0-0033806314&amp;doi=10.1016%2fS0380-1330%2800%2970694-0&amp;partnerID=40&amp;md5=c7fca425144e7aa26e94ebc531ace3a8</t>
  </si>
  <si>
    <t>Carmack E.; Vagle S.; Kheyrollah Pour H.</t>
  </si>
  <si>
    <t>Seasonal Temperature and Circulation Patterns in a Hybrid Polar Lake, Great Bear Lake, Canada</t>
  </si>
  <si>
    <t>Journal of Geophysical Research: Earth Surface</t>
  </si>
  <si>
    <t>https://www.scopus.com/inward/record.uri?eid=2-s2.0-85202901631&amp;doi=10.1029%2f2024JF007650&amp;partnerID=40&amp;md5=530b5ef82c85dfb1e4ea249c1e641344</t>
  </si>
  <si>
    <t>Fink G.; Schmid M.; Wahl B.; Wolf T.; Wüest A.</t>
  </si>
  <si>
    <t>Heat flux modifications related to climate-induced warming of large European lakes</t>
  </si>
  <si>
    <t>https://www.scopus.com/inward/record.uri?eid=2-s2.0-84895416838&amp;doi=10.1002%2f2013WR014448&amp;partnerID=40&amp;md5=aef5265f327fc6422c56c0c6767f1922</t>
  </si>
  <si>
    <t>Wang J.; Hu H.; Schwab D.; Leshkevich G.; Beletsky D.; Hawley N.; Clites A.</t>
  </si>
  <si>
    <t>Development of the Great Lakes Ice-circulation Model (GLIM): Application to Lake Erie in 2003-2004</t>
  </si>
  <si>
    <t>https://www.scopus.com/inward/record.uri?eid=2-s2.0-77956186500&amp;doi=10.1016%2fj.jglr.2010.04.002&amp;partnerID=40&amp;md5=eb837ee2b041d85851d7ec3cb26641ae</t>
  </si>
  <si>
    <t>Gowan T.M.; Steenburgh W.J.; Minder J.R.</t>
  </si>
  <si>
    <t>Downstream evolution and coastal-to-inland transition of landfalling lake-effect systems</t>
  </si>
  <si>
    <t>Monthly Weather Review</t>
  </si>
  <si>
    <t>https://www.scopus.com/inward/record.uri?eid=2-s2.0-85104816108&amp;doi=10.1175%2fMWR-D-20-0253.1&amp;partnerID=40&amp;md5=667be86f0d24a6fbe7d83a03707aac8b</t>
  </si>
  <si>
    <t>Bah A.R.; Jean-Soverall C.; Arunyavikul P.; Chen R.; Norouzi H.; Blake R.</t>
  </si>
  <si>
    <t>ANALYZING LAKES SURFACE TEMPERATURE VARIABILITY AT THE GLOBAL SCALE</t>
  </si>
  <si>
    <t>International Geoscience and Remote Sensing Symposium (IGARSS)</t>
  </si>
  <si>
    <t>https://www.scopus.com/inward/record.uri?eid=2-s2.0-85129904570&amp;doi=10.1109%2fIGARSS47720.2021.9555113&amp;partnerID=40&amp;md5=bec930a537c5f6a5421d48f05868f767</t>
  </si>
  <si>
    <t>this paper calculated LSWT rates of change for &gt;500 lakes but they only report the percent which warm vs cool</t>
  </si>
  <si>
    <t>Xiao C.; Lofgren B.M.; Wang J.; Chu P.Y.</t>
  </si>
  <si>
    <t>Improving the lake scheme within a coupled WRF-lake model in the Laurentian Great Lakes</t>
  </si>
  <si>
    <t>Journal of Advances in Modeling Earth Systems</t>
  </si>
  <si>
    <t>https://www.scopus.com/inward/record.uri?eid=2-s2.0-85007042337&amp;doi=10.1002%2f2016MS000717&amp;partnerID=40&amp;md5=6969c7a30766eafc87a63f86a6ea4b38</t>
  </si>
  <si>
    <t>Song K.; Wang M.; Du J.; Yuan Y.; Ma J.; Wang M.; Mu G.</t>
  </si>
  <si>
    <t>Spatiotemporal variations of lake surface temperature across the Tibetan Plateau using MODIS LST product</t>
  </si>
  <si>
    <t>https://www.scopus.com/inward/record.uri?eid=2-s2.0-85019769805&amp;doi=10.3390%2frs8100854&amp;partnerID=40&amp;md5=f246b30b418cb6e51a87aa0bf6d8088d</t>
  </si>
  <si>
    <t>Thiery W.; Davin E.L.; Panitz H.-J.; Demuzere M.; Lhermitte S.; Van Lipzig N.</t>
  </si>
  <si>
    <t>The impact of the African Great Lakes on the regional climate</t>
  </si>
  <si>
    <t>Journal of Climate</t>
  </si>
  <si>
    <t>https://www.scopus.com/inward/record.uri?eid=2-s2.0-84933280640&amp;doi=10.1175%2fJCLI-D-14-00565.1&amp;partnerID=40&amp;md5=31c01664153c19e1766803081ab531f6</t>
  </si>
  <si>
    <t>Qiao J.; Littke R.; Grohmann S.; Zhang C.; Jiang Z.; Strauss H.; Zieger L.</t>
  </si>
  <si>
    <t>Climatic and environmental conditions during the Pleistocene in the Central Qaidam Basin, NE Tibetan Plateau: Evidence from GDGTs, stable isotopes and major and trace elements of the Qigequan Formation</t>
  </si>
  <si>
    <t>International Journal of Coal Geology</t>
  </si>
  <si>
    <t>https://www.scopus.com/inward/record.uri?eid=2-s2.0-85127494562&amp;doi=10.1016%2fj.coal.2022.103958&amp;partnerID=40&amp;md5=b3d7f62f275af2b3b5d5a729f08d82a4</t>
  </si>
  <si>
    <t>SMITH P.J.; HECKER G.E.</t>
  </si>
  <si>
    <t>HYDROTHERMAL MODEL STUDY LAKE COOLING WATER STRUCTURES. DONALD C. COOK NUCLEAR PLANT. AMERICAN ELECTRIC POWER SERVICE CORPORATION.</t>
  </si>
  <si>
    <t>https://www.scopus.com/inward/record.uri?eid=2-s2.0-85041151865&amp;partnerID=40&amp;md5=f4d5a17cbbe364cbf6c1924f2ef0e5b4</t>
  </si>
  <si>
    <t>Qiu Y.; Chen J.; Chen D.</t>
  </si>
  <si>
    <t>Changes in lake surface temperature on the Tibetan Plateau from 2000 to 2022 and their driving factors</t>
  </si>
  <si>
    <t>https://www.scopus.com/inward/record.uri?eid=2-s2.0-105001975897&amp;doi=10.1007%2fs11430-024-1527-4&amp;partnerID=40&amp;md5=6ae62dd3379bc4bb5ebfb3ddd192256a</t>
  </si>
  <si>
    <t>Wu Y.; Huang A.; Lu Y.; Lazhu; Yang X.; Qiu B.; Zhang Z.; Zhang X.</t>
  </si>
  <si>
    <t>Numerical Study of the Thermal Structure and Circulation in a Large and Deep Dimictic Lake Over Tibetan Plateau</t>
  </si>
  <si>
    <t>Journal of Geophysical Research: Oceans</t>
  </si>
  <si>
    <t>https://www.scopus.com/inward/record.uri?eid=2-s2.0-85118441783&amp;doi=10.1029%2f2021JC017517&amp;partnerID=40&amp;md5=5cb340e584ff9c1a00fe12ccd0e2ecf1</t>
  </si>
  <si>
    <t>Zhu L.; Jin J.; Liu Y.</t>
  </si>
  <si>
    <t>Modeling the effects of lakes in the tibetan plateau on diurnal variations of regional climate and their seasonality</t>
  </si>
  <si>
    <t>Journal of Hydrometeorology</t>
  </si>
  <si>
    <t>https://www.scopus.com/inward/record.uri?eid=2-s2.0-85096020570&amp;doi=10.1175%2fJHM-D-20-0091.1&amp;partnerID=40&amp;md5=2124dabf15e56c40ec03da4dd60972d7</t>
  </si>
  <si>
    <t>Lesht B.M.; Brandner D.J.</t>
  </si>
  <si>
    <t>Functional Representation of Great Lakes Surface Temperatures1</t>
  </si>
  <si>
    <t>https://www.scopus.com/inward/record.uri?eid=2-s2.0-0026451659&amp;doi=10.1016%2fS0380-1330%2892%2971278-7&amp;partnerID=40&amp;md5=1eb8158728cff557249920c017d832f1</t>
  </si>
  <si>
    <t>Hofstetter G.</t>
  </si>
  <si>
    <t>Der Einfluß meteorologischer Faktoren auf die Temperatur alpiner Seen</t>
  </si>
  <si>
    <t>Archiv für Meteorologie, Geophysik und Bioklimatologie Serie B</t>
  </si>
  <si>
    <t>https://www.scopus.com/inward/record.uri?eid=2-s2.0-34250566643&amp;doi=10.1007%2fBF02244620&amp;partnerID=40&amp;md5=4aa9cd0da2499fc55f7a1c071e3e0cd7</t>
  </si>
  <si>
    <t>"lake surface temperature" "warming" in scopus</t>
  </si>
  <si>
    <t>Aranda A.C.; Rivera-Ruiz D.; Rodríguez-López L.; Pedreros P.; Arumí-Ribera J.L.; Morales-Salinas L.; Fuentes-Jaque G.; Urrutia R.</t>
  </si>
  <si>
    <t>Evidence of climate change based on lake surface temperature trends in south central Chile</t>
  </si>
  <si>
    <t>https://www.scopus.com/inward/record.uri?eid=2-s2.0-85119103896&amp;doi=10.3390%2frs13224535&amp;partnerID=40&amp;md5=1312ca535e3805e63e560d8262d0291a</t>
  </si>
  <si>
    <t>Dokulil M.T.; de Eyto E.; Maberly S.C.; May L.; Weyhenmeyer G.A.; Woolway R.I.</t>
  </si>
  <si>
    <t>Increasing maximum lake surface temperature under climate change</t>
  </si>
  <si>
    <t>https://www.scopus.com/inward/record.uri?eid=2-s2.0-85104643725&amp;doi=10.1007%2fs10584-021-03085-1&amp;partnerID=40&amp;md5=194e3a590ea2278af1a379a4190e309c</t>
  </si>
  <si>
    <t>Debnath M.; Syiemlieh H.J.; Sharma M.C.; Kumar R.; Chowdhury A.; Lal U.</t>
  </si>
  <si>
    <t>Glacial lake dynamics and lake surface temperature assessment along the Kangchengayo-Pauhunri Massif, Sikkim Himalaya, 1988–2014</t>
  </si>
  <si>
    <t>Remote Sensing Applications: Society and Environment</t>
  </si>
  <si>
    <t>https://www.scopus.com/inward/record.uri?eid=2-s2.0-85035085756&amp;doi=10.1016%2fj.rsase.2017.11.002&amp;partnerID=40&amp;md5=faa413b077187fbab448ce409dd1b0c9</t>
  </si>
  <si>
    <t>Sun W.; Zhang E.; Chang J.; Shulmeister J.; I. Bird M.; Zhao C.; Jiang Q.; Shen J.</t>
  </si>
  <si>
    <t>Archaeal lipid-inferred paleohydrology and paleotemperature of Lake Chenghai during the Pleistocene-Holocene transition</t>
  </si>
  <si>
    <t>Climate of the Past</t>
  </si>
  <si>
    <t>https://www.scopus.com/inward/record.uri?eid=2-s2.0-85084818365&amp;doi=10.5194%2fcp-16-833-2020&amp;partnerID=40&amp;md5=060d05741c86f8111d6180897e9793e2</t>
  </si>
  <si>
    <t>Eugster W.; Delsontro T.; Sobek S.</t>
  </si>
  <si>
    <t>Eddy covariance flux measurements confirm extreme CH 4 emissions from a Swiss hydropower reservoir and resolve their short-term variability</t>
  </si>
  <si>
    <t>Biogeosciences</t>
  </si>
  <si>
    <t>https://www.scopus.com/inward/record.uri?eid=2-s2.0-80053398201&amp;doi=10.5194%2fbg-8-2815-2011&amp;partnerID=40&amp;md5=ad7449be3e260ec0c5a9013531b6f455</t>
  </si>
  <si>
    <t>Kayastha M.B.; Huang C.; Wang J.; Pringle W.J.; Chakraborty T.C.; Yang Z.; Hetland R.D.; Qian Y.; Xue P.</t>
  </si>
  <si>
    <t>Insights on Simulating Summer Warming of the Great Lakes: Understanding the Behavior of a Newly Developed Coupled Lake-Atmosphere Modeling System</t>
  </si>
  <si>
    <t>https://www.scopus.com/inward/record.uri?eid=2-s2.0-85165440412&amp;doi=10.1029%2f2023MS003620&amp;partnerID=40&amp;md5=ebbc6b6fa23268ccba8ff6e2cbf5a8f8</t>
  </si>
  <si>
    <t>Piccolroaz S.; Toffolon M.</t>
  </si>
  <si>
    <t>The fate of Lake Baikal: how climate change may alter deep ventilation in the largest lake on Earth</t>
  </si>
  <si>
    <t>https://www.scopus.com/inward/record.uri?eid=2-s2.0-85053620896&amp;doi=10.1007%2fs10584-018-2275-2&amp;partnerID=40&amp;md5=f972fff5625719285c7e792ec2aa53c3</t>
  </si>
  <si>
    <t>Czymzik M.; Nowaczyk N.R.; Dellwig O.; Wegwerth A.; Muscheler R.; Christl M.; Arz H.W.</t>
  </si>
  <si>
    <t>Lagged atmospheric circulation response in the Black Sea region to Greenland Interstadial 10</t>
  </si>
  <si>
    <t>Proceedings of the National Academy of Sciences of the United States of America</t>
  </si>
  <si>
    <t>https://www.scopus.com/inward/record.uri?eid=2-s2.0-85096359623&amp;doi=10.1073%2fpnas.2005520117&amp;partnerID=40&amp;md5=786083ff4e29cd7e9f9ba6045cb59ead</t>
  </si>
  <si>
    <t>Guo L.; Zheng H.; Wu Y.; Zhang T.; Wen M.; Fan L.; Zhang B.</t>
  </si>
  <si>
    <t>Responses of Lake Ice Phenology to Climate Change at Tibetan Plateau</t>
  </si>
  <si>
    <t>https://www.scopus.com/inward/record.uri?eid=2-s2.0-85088517820&amp;doi=10.1109%2fJSTARS.2020.3006270&amp;partnerID=40&amp;md5=390b29635019c0f70fec42b6cbaf6def</t>
  </si>
  <si>
    <t>Lang J.; Ma Y.; Li Z.; Su D.</t>
  </si>
  <si>
    <t>The impact of climate warming on lake surface heat exchange and ice phenology of different types of lakes on the tibetan plateau</t>
  </si>
  <si>
    <t>https://www.scopus.com/inward/record.uri?eid=2-s2.0-85102660159&amp;doi=10.3390%2fw13050634&amp;partnerID=40&amp;md5=9a07da162bb081185c35f34edbe519b8</t>
  </si>
  <si>
    <t>Stetler J.T.; Girdner S.; Mack J.; Winslow L.A.; Leach T.H.; Rose K.C.</t>
  </si>
  <si>
    <t>Atmospheric stilling and warming air temperatures drive long-term changes in lake stratification in a large oligotrophic lake</t>
  </si>
  <si>
    <t>Limnology and Oceanography</t>
  </si>
  <si>
    <t>https://www.scopus.com/inward/record.uri?eid=2-s2.0-85096633645&amp;doi=10.1002%2flno.11654&amp;partnerID=40&amp;md5=aabee57ad720eefb420d2bb15fad462c</t>
  </si>
  <si>
    <t>Wang J.; Kessler J.; Bai X.; Clites A.; Lofgren B.; Assuncao A.; Bratton J.; Chu P.; Leshkevich G.</t>
  </si>
  <si>
    <t>Decadal variability of Great Lakes ice cover in response to AMO and PDO, 1963-2017</t>
  </si>
  <si>
    <t>https://www.scopus.com/inward/record.uri?eid=2-s2.0-85052926379&amp;doi=10.1175%2fJCLI-D-17-0283.1&amp;partnerID=40&amp;md5=94f205f91b637e7b1ccf5bfdbc73d891</t>
  </si>
  <si>
    <t>Pringle W.J.; Huang C.; Xue P.; Wang J.; Sargsyan K.; Kayastha M.B.; Chakraborty T.C.; Yang Z.; Qian Y.; Hetland R.D.</t>
  </si>
  <si>
    <t>Coupled Lake-Atmosphere-Land Physics Uncertainties in a Great Lakes Regional Climate Model</t>
  </si>
  <si>
    <t>https://www.scopus.com/inward/record.uri?eid=2-s2.0-85219156881&amp;doi=10.1029%2f2024MS004337&amp;partnerID=40&amp;md5=0b986145e9b7398afa941f7f05e31f73</t>
  </si>
  <si>
    <t>Safaie A.; Litchman E.; Phanikumar M.S.</t>
  </si>
  <si>
    <t>Evaluating the role of groundwater in circulation and thermal structure within a deep inland lake</t>
  </si>
  <si>
    <t>Advances in Water Resources</t>
  </si>
  <si>
    <t>https://www.scopus.com/inward/record.uri?eid=2-s2.0-85028524666&amp;doi=10.1016%2fj.advwatres.2017.08.002&amp;partnerID=40&amp;md5=ff7d85a664b6f8fec8a9393ab00dcc89</t>
  </si>
  <si>
    <t>Wang X.; Shi K.; Zhang Y.; Qin B.; Zhang Y.; Wang W.; Woolway R.I.; Piao S.; Jeppesen E.</t>
  </si>
  <si>
    <t>Climate change drives rapid warming and increasing heatwaves of lakes</t>
  </si>
  <si>
    <t>Science Bulletin</t>
  </si>
  <si>
    <t>https://www.scopus.com/inward/record.uri?eid=2-s2.0-85164749801&amp;doi=10.1016%2fj.scib.2023.06.028&amp;partnerID=40&amp;md5=dd233113bff0b53d5a1050d18715f8a2</t>
  </si>
  <si>
    <t>Su D.; Hu X.; Wen L.; Lyu S.; Gao X.; Zhao L.; Li Z.; Du J.; Kirillin G.</t>
  </si>
  <si>
    <t>Numerical study on the response of the largest lake in China to climate change</t>
  </si>
  <si>
    <t>https://www.scopus.com/inward/record.uri?eid=2-s2.0-85064861544&amp;doi=10.5194%2fhess-23-2093-2019&amp;partnerID=40&amp;md5=2c1ed61b00da90c6ef2ae02f46d19106</t>
  </si>
  <si>
    <t>Woolway R.I.; Merchant C.J.; Van Den Hoek J.; Azorin-Molina C.; Nõges P.; Laas A.; Mackay E.B.; Jones I.D.</t>
  </si>
  <si>
    <t>Northern Hemisphere Atmospheric Stilling Accelerates Lake Thermal Responses to a Warming World</t>
  </si>
  <si>
    <t>https://www.scopus.com/inward/record.uri?eid=2-s2.0-85074762041&amp;doi=10.1029%2f2019GL082752&amp;partnerID=40&amp;md5=c61a7bcd203f30ecf8f277fa2ce7d7e3</t>
  </si>
  <si>
    <t>Gray D.K.; Hampton S.E.; O'Reilly C.M.; Sharma S.; Cohen R.S.</t>
  </si>
  <si>
    <t>How do data collection and processing methods impact the accuracy of long-term trend estimation in lake surface-water temperatures?</t>
  </si>
  <si>
    <t>Limnology and Oceanography: Methods</t>
  </si>
  <si>
    <t>https://www.scopus.com/inward/record.uri?eid=2-s2.0-85052141663&amp;doi=10.1002%2flom3.10262&amp;partnerID=40&amp;md5=d7d1c76e160830f1a9fb5023394a87fb</t>
  </si>
  <si>
    <t>no but relevant for discussion</t>
  </si>
  <si>
    <t>Kraemer B.M.; Mehner T.; Adrian R.</t>
  </si>
  <si>
    <t>Reconciling the opposing effects of warming on phytoplankton biomass in 188 large lakes</t>
  </si>
  <si>
    <t>https://www.scopus.com/inward/record.uri?eid=2-s2.0-85029026900&amp;doi=10.1038%2fs41598-017-11167-3&amp;partnerID=40&amp;md5=8bcefda34851dbbb967e6b7e08076028</t>
  </si>
  <si>
    <t>Dee S.G.; Morrill C.; Kim S.H.; Russell J.M.</t>
  </si>
  <si>
    <t>Hot Air, Hot Lakes, or Both? Exploring Mid-Holocene African Temperatures Using Proxy System Modeling</t>
  </si>
  <si>
    <t>https://www.scopus.com/inward/record.uri?eid=2-s2.0-85106941547&amp;doi=10.1029%2f2020JD033269&amp;partnerID=40&amp;md5=a419b11f364b1666d5aeabbc7bb88ba6</t>
  </si>
  <si>
    <t>Wang W.; Shi K.; Wang X.; Zhang Y.; Qin B.; Zhang Y.; Woolway R.I.</t>
  </si>
  <si>
    <t>https://www.scopus.com/inward/record.uri?eid=2-s2.0-85181254875&amp;doi=10.1038%2fs41467-023-44404-7&amp;partnerID=40&amp;md5=a44eaca1c280b184320ebd44b1597974</t>
  </si>
  <si>
    <t>Schneider P.; Hook S.J.; Radocinski R.G.; Corlett G.K.; Hulley G.C.; Schladow S.G.; Steissberg T.E.</t>
  </si>
  <si>
    <t>Satellite observations indicate rapid warming trend for lakes in California and Nevada</t>
  </si>
  <si>
    <t>https://www.scopus.com/inward/record.uri?eid=2-s2.0-72049106903&amp;doi=10.1029%2f2009GL040846&amp;partnerID=40&amp;md5=73cb9b16ceceeea68618206128e9c788</t>
  </si>
  <si>
    <t>Double ups?</t>
  </si>
  <si>
    <t>Status</t>
  </si>
  <si>
    <t>Selection criteria</t>
  </si>
  <si>
    <t>DETERMINING STATUS OF MS</t>
  </si>
  <si>
    <t>Google Scholar (28 May)</t>
  </si>
  <si>
    <t>https://scholar.google.com.au/scholar?hl=en&amp;as_sdt=0%2C5&amp;q=%22lake+surface+water+temperature%22+%22warming%22&amp;btnG=</t>
  </si>
  <si>
    <t>Double up</t>
  </si>
  <si>
    <t>Still to do?</t>
  </si>
  <si>
    <t>Contain rate of change?</t>
  </si>
  <si>
    <t>Other</t>
  </si>
  <si>
    <t>Not me?</t>
  </si>
  <si>
    <t>Jul-Sep</t>
  </si>
  <si>
    <r>
      <t>Brkić, Ž. (2023). Increasing water temperature of the largest freshwater lake on the Mediterranean islands as an indicator of global warming. </t>
    </r>
    <r>
      <rPr>
        <b/>
        <i/>
        <sz val="10"/>
        <color rgb="FF222222"/>
        <rFont val="Arial"/>
        <family val="2"/>
      </rPr>
      <t>Heliyon</t>
    </r>
    <r>
      <rPr>
        <b/>
        <sz val="10"/>
        <color rgb="FF222222"/>
        <rFont val="Arial"/>
        <family val="2"/>
      </rPr>
      <t>, </t>
    </r>
    <r>
      <rPr>
        <b/>
        <i/>
        <sz val="10"/>
        <color rgb="FF222222"/>
        <rFont val="Arial"/>
        <family val="2"/>
      </rPr>
      <t>9</t>
    </r>
    <r>
      <rPr>
        <b/>
        <sz val="10"/>
        <color rgb="FF222222"/>
        <rFont val="Arial"/>
        <family val="2"/>
      </rPr>
      <t>(8).</t>
    </r>
  </si>
  <si>
    <t>.</t>
  </si>
  <si>
    <t>Not proper article</t>
  </si>
  <si>
    <t>Carrea, L., Merchant, C., Woolway, I., Cretaux, J. F., Dokulil, T. M., Dugan, H., ... &amp; Verburg, P. (2024). Lake surface water temperature. Bulletin of the American Meteorological Society, 105(8), S33-S34.</t>
  </si>
  <si>
    <t>EXCLUDE - NOT PROPER MS</t>
  </si>
  <si>
    <r>
      <t>Czernecki, B., &amp; Ptak, M. (2018). The impact of global warming on lake surface water temperature in Poland-the application of empirical-statistical downscaling, 1971-2100. </t>
    </r>
    <r>
      <rPr>
        <b/>
        <i/>
        <sz val="10"/>
        <color rgb="FF222222"/>
        <rFont val="Arial"/>
        <family val="2"/>
      </rPr>
      <t>Journal of Limnology</t>
    </r>
    <r>
      <rPr>
        <b/>
        <sz val="10"/>
        <color rgb="FF222222"/>
        <rFont val="Arial"/>
        <family val="2"/>
      </rPr>
      <t>, </t>
    </r>
    <r>
      <rPr>
        <b/>
        <i/>
        <sz val="10"/>
        <color rgb="FF222222"/>
        <rFont val="Arial"/>
        <family val="2"/>
      </rPr>
      <t>77</t>
    </r>
    <r>
      <rPr>
        <b/>
        <sz val="10"/>
        <color rgb="FF222222"/>
        <rFont val="Arial"/>
        <family val="2"/>
      </rPr>
      <t>(2).</t>
    </r>
  </si>
  <si>
    <t>DONE</t>
  </si>
  <si>
    <r>
      <t>Dokulil, M. T., de Eyto, E., Maberly, S. C., May, L., Weyhenmeyer, G. A., &amp; Woolway, R. I. (2021). Increasing maximum lake surface temperature under climate change. </t>
    </r>
    <r>
      <rPr>
        <b/>
        <i/>
        <sz val="10"/>
        <color rgb="FF222222"/>
        <rFont val="Arial"/>
        <family val="2"/>
        <charset val="1"/>
      </rPr>
      <t>Climatic Change</t>
    </r>
    <r>
      <rPr>
        <b/>
        <sz val="10"/>
        <color rgb="FF222222"/>
        <rFont val="Arial"/>
        <family val="2"/>
        <charset val="1"/>
      </rPr>
      <t>, </t>
    </r>
    <r>
      <rPr>
        <b/>
        <i/>
        <sz val="10"/>
        <color rgb="FF222222"/>
        <rFont val="Arial"/>
        <family val="2"/>
        <charset val="1"/>
      </rPr>
      <t>165</t>
    </r>
    <r>
      <rPr>
        <b/>
        <sz val="10"/>
        <color rgb="FF222222"/>
        <rFont val="Arial"/>
        <family val="2"/>
        <charset val="1"/>
      </rPr>
      <t>(3), 56.</t>
    </r>
  </si>
  <si>
    <r>
      <rPr>
        <b/>
        <sz val="10"/>
        <color rgb="FF222222"/>
        <rFont val="Arial"/>
      </rPr>
      <t>Huang, L., Wang, X., Yan, Y., Jin, L., Yang, K., Chen, A., ... &amp; Piao, S. (2023). Attribution of lake surface water temperature change in large lakes across China over past four decades. </t>
    </r>
    <r>
      <rPr>
        <b/>
        <i/>
        <sz val="10"/>
        <color rgb="FF222222"/>
        <rFont val="Arial"/>
      </rPr>
      <t>Journal of Geophysical Research: Atmospheres</t>
    </r>
    <r>
      <rPr>
        <b/>
        <sz val="10"/>
        <color rgb="FF222222"/>
        <rFont val="Arial"/>
      </rPr>
      <t>, </t>
    </r>
    <r>
      <rPr>
        <b/>
        <i/>
        <sz val="10"/>
        <color rgb="FF222222"/>
        <rFont val="Arial"/>
      </rPr>
      <t>128</t>
    </r>
    <r>
      <rPr>
        <b/>
        <sz val="10"/>
        <color rgb="FF222222"/>
        <rFont val="Arial"/>
      </rPr>
      <t>(21), e2022JD038465.</t>
    </r>
  </si>
  <si>
    <r>
      <t>Jia, T., Yang, K., Peng, Z., Tang, L., Duan, H., &amp; Luo, Y. (2022). Review on the change trend, attribution analysis, retrieval, simulation, and prediction of lake surface water temperature. </t>
    </r>
    <r>
      <rPr>
        <b/>
        <i/>
        <strike/>
        <sz val="10"/>
        <color rgb="FF222222"/>
        <rFont val="Arial"/>
        <family val="2"/>
        <charset val="1"/>
      </rPr>
      <t>IEEE Journal of Selected Topics in Applied Earth Observations and Remote Sensing</t>
    </r>
    <r>
      <rPr>
        <b/>
        <strike/>
        <sz val="10"/>
        <color rgb="FF222222"/>
        <rFont val="Arial"/>
        <family val="2"/>
        <charset val="1"/>
      </rPr>
      <t>, </t>
    </r>
    <r>
      <rPr>
        <b/>
        <i/>
        <strike/>
        <sz val="10"/>
        <color rgb="FF222222"/>
        <rFont val="Arial"/>
        <family val="2"/>
        <charset val="1"/>
      </rPr>
      <t>15</t>
    </r>
    <r>
      <rPr>
        <b/>
        <strike/>
        <sz val="10"/>
        <color rgb="FF222222"/>
        <rFont val="Arial"/>
        <family val="2"/>
        <charset val="1"/>
      </rPr>
      <t>, 6324-6355.</t>
    </r>
  </si>
  <si>
    <t>EXCLUDE - LITERATURE REVIEW</t>
  </si>
  <si>
    <r>
      <rPr>
        <b/>
        <sz val="10"/>
        <color rgb="FF222222"/>
        <rFont val="Arial"/>
      </rPr>
      <t>Li, Y., Shi, K., Zhang, Y., Zhu, G., Guo, Y., Li, H., &amp; Du, C. (2022). Warming lake surface water temperatures in Lake Qiandaohu, China: Spatiotemporal variations, influencing factors and implications for the thermal structure. </t>
    </r>
    <r>
      <rPr>
        <b/>
        <i/>
        <sz val="10"/>
        <color rgb="FF222222"/>
        <rFont val="Arial"/>
      </rPr>
      <t>Frontiers in Environmental Science</t>
    </r>
    <r>
      <rPr>
        <b/>
        <sz val="10"/>
        <color rgb="FF222222"/>
        <rFont val="Arial"/>
      </rPr>
      <t>, </t>
    </r>
    <r>
      <rPr>
        <b/>
        <i/>
        <sz val="10"/>
        <color rgb="FF222222"/>
        <rFont val="Arial"/>
      </rPr>
      <t>10</t>
    </r>
    <r>
      <rPr>
        <b/>
        <sz val="10"/>
        <color rgb="FF222222"/>
        <rFont val="Arial"/>
      </rPr>
      <t>, 995862.</t>
    </r>
  </si>
  <si>
    <r>
      <rPr>
        <b/>
        <sz val="10"/>
        <color rgb="FF222222"/>
        <rFont val="Arial"/>
      </rPr>
      <t>Lieberherr, G., &amp; Wunderle, S. (2018). Lake surface water temperature derived from 35 years of AVHRR sensor data for European lakes. </t>
    </r>
    <r>
      <rPr>
        <b/>
        <i/>
        <sz val="10"/>
        <color rgb="FF222222"/>
        <rFont val="Arial"/>
      </rPr>
      <t>Remote sensing</t>
    </r>
    <r>
      <rPr>
        <b/>
        <sz val="10"/>
        <color rgb="FF222222"/>
        <rFont val="Arial"/>
      </rPr>
      <t>, </t>
    </r>
    <r>
      <rPr>
        <b/>
        <i/>
        <sz val="10"/>
        <color rgb="FF222222"/>
        <rFont val="Arial"/>
      </rPr>
      <t>10</t>
    </r>
    <r>
      <rPr>
        <b/>
        <sz val="10"/>
        <color rgb="FF222222"/>
        <rFont val="Arial"/>
      </rPr>
      <t>(7), 990.</t>
    </r>
  </si>
  <si>
    <t>h</t>
  </si>
  <si>
    <r>
      <t>Luo, Y., Tang, L., Yang, K., Zhou, X., Liu, J., Zhang, Y., &amp; Peng, Z. (2023). Investigating the warming effect of urban expansion on lake surface water temperature in the Dianchi lake watershed. </t>
    </r>
    <r>
      <rPr>
        <b/>
        <i/>
        <sz val="10"/>
        <color rgb="FF222222"/>
        <rFont val="Arial"/>
        <family val="2"/>
        <charset val="1"/>
      </rPr>
      <t>Journal of Hydrology: Regional Studies</t>
    </r>
    <r>
      <rPr>
        <b/>
        <sz val="10"/>
        <color rgb="FF222222"/>
        <rFont val="Arial"/>
        <family val="2"/>
        <charset val="1"/>
      </rPr>
      <t>, </t>
    </r>
    <r>
      <rPr>
        <b/>
        <i/>
        <sz val="10"/>
        <color rgb="FF222222"/>
        <rFont val="Arial"/>
        <family val="2"/>
        <charset val="1"/>
      </rPr>
      <t>49</t>
    </r>
    <r>
      <rPr>
        <b/>
        <sz val="10"/>
        <color rgb="FF222222"/>
        <rFont val="Arial"/>
        <family val="2"/>
        <charset val="1"/>
      </rPr>
      <t>, 101516.</t>
    </r>
  </si>
  <si>
    <t>Seems to investigate effects of urban sprawl on LSWT</t>
  </si>
  <si>
    <t>Revisit</t>
  </si>
  <si>
    <r>
      <rPr>
        <b/>
        <sz val="10"/>
        <color rgb="FF222222"/>
        <rFont val="Arial"/>
      </rPr>
      <t>Luo, Y., Zhang, Y., Yang, K., Yu, Z., &amp; Zhu, Y. (2019). Spatiotemporal variations in Dianchi lake’s surface water temperature from 2001 to 2017 under the influence of climate warming. </t>
    </r>
    <r>
      <rPr>
        <b/>
        <i/>
        <sz val="10"/>
        <color rgb="FF222222"/>
        <rFont val="Arial"/>
      </rPr>
      <t>Ieee Access</t>
    </r>
    <r>
      <rPr>
        <b/>
        <sz val="10"/>
        <color rgb="FF222222"/>
        <rFont val="Arial"/>
      </rPr>
      <t>, </t>
    </r>
    <r>
      <rPr>
        <b/>
        <i/>
        <sz val="10"/>
        <color rgb="FF222222"/>
        <rFont val="Arial"/>
      </rPr>
      <t>7</t>
    </r>
    <r>
      <rPr>
        <b/>
        <sz val="10"/>
        <color rgb="FF222222"/>
        <rFont val="Arial"/>
      </rPr>
      <t>, 115378-115387.</t>
    </r>
  </si>
  <si>
    <t>Trend method not stated</t>
  </si>
  <si>
    <r>
      <rPr>
        <b/>
        <sz val="10"/>
        <color rgb="FF222222"/>
        <rFont val="Arial"/>
      </rPr>
      <t>Niedrist, G. H., Psenner, R., &amp; Sommaruga, R. (2018). Climate warming increases vertical and seasonal water temperature differences and inter-annual variability in a mountain lake. </t>
    </r>
    <r>
      <rPr>
        <b/>
        <i/>
        <sz val="10"/>
        <color rgb="FF222222"/>
        <rFont val="Arial"/>
      </rPr>
      <t>Climatic Change</t>
    </r>
    <r>
      <rPr>
        <b/>
        <sz val="10"/>
        <color rgb="FF222222"/>
        <rFont val="Arial"/>
      </rPr>
      <t>, </t>
    </r>
    <r>
      <rPr>
        <b/>
        <i/>
        <sz val="10"/>
        <color rgb="FF222222"/>
        <rFont val="Arial"/>
      </rPr>
      <t>151</t>
    </r>
    <r>
      <rPr>
        <b/>
        <sz val="10"/>
        <color rgb="FF222222"/>
        <rFont val="Arial"/>
      </rPr>
      <t>(3), 473-490.</t>
    </r>
  </si>
  <si>
    <t>TO DO</t>
  </si>
  <si>
    <r>
      <rPr>
        <b/>
        <sz val="10"/>
        <color rgb="FF222222"/>
        <rFont val="Arial"/>
      </rPr>
      <t>Peng, J., Chen, J., Liu, S., Liu, T., Deng, F., Fan, Y., &amp; De Maeyer, P. (2024). Dynamics of the risk of algal blooms induced by surface water temperature in an alpine eutrophic lake under climate warming: Insights from Lake Dianchi. </t>
    </r>
    <r>
      <rPr>
        <b/>
        <i/>
        <sz val="10"/>
        <color rgb="FF222222"/>
        <rFont val="Arial"/>
      </rPr>
      <t>Journal of Hydrology</t>
    </r>
    <r>
      <rPr>
        <b/>
        <sz val="10"/>
        <color rgb="FF222222"/>
        <rFont val="Arial"/>
      </rPr>
      <t>, </t>
    </r>
    <r>
      <rPr>
        <b/>
        <i/>
        <sz val="10"/>
        <color rgb="FF222222"/>
        <rFont val="Arial"/>
      </rPr>
      <t>643</t>
    </r>
    <r>
      <rPr>
        <b/>
        <sz val="10"/>
        <color rgb="FF222222"/>
        <rFont val="Arial"/>
      </rPr>
      <t>, 131949.</t>
    </r>
  </si>
  <si>
    <t>2000-2023</t>
  </si>
  <si>
    <r>
      <rPr>
        <b/>
        <sz val="10"/>
        <color rgb="FF222222"/>
        <rFont val="Arial"/>
      </rPr>
      <t>Peng, Z., Yang, J., Luo, Y., Yang, K., &amp; Shang, C. (2021). Impact of climate warming on the surface water temperature of plateau lake. </t>
    </r>
    <r>
      <rPr>
        <b/>
        <i/>
        <sz val="10"/>
        <color rgb="FF222222"/>
        <rFont val="Arial"/>
      </rPr>
      <t>Acta Geophysica</t>
    </r>
    <r>
      <rPr>
        <b/>
        <sz val="10"/>
        <color rgb="FF222222"/>
        <rFont val="Arial"/>
      </rPr>
      <t>, </t>
    </r>
    <r>
      <rPr>
        <b/>
        <i/>
        <sz val="10"/>
        <color rgb="FF222222"/>
        <rFont val="Arial"/>
      </rPr>
      <t>69</t>
    </r>
    <r>
      <rPr>
        <b/>
        <sz val="10"/>
        <color rgb="FF222222"/>
        <rFont val="Arial"/>
      </rPr>
      <t>, 895-907.</t>
    </r>
  </si>
  <si>
    <r>
      <rPr>
        <b/>
        <sz val="10"/>
        <color rgb="FF222222"/>
        <rFont val="Arial"/>
      </rPr>
      <t>Peng, Z., Yang, K., Shang, C., Duan, H., Tang, L., Zhang, Y., ... &amp; Luo, Y. (2022). Attribution analysis of lake surface water temperature changing—taking China’s six main lakes as example. </t>
    </r>
    <r>
      <rPr>
        <b/>
        <i/>
        <sz val="10"/>
        <color rgb="FF222222"/>
        <rFont val="Arial"/>
      </rPr>
      <t>Ecological Indicators</t>
    </r>
    <r>
      <rPr>
        <b/>
        <sz val="10"/>
        <color rgb="FF222222"/>
        <rFont val="Arial"/>
      </rPr>
      <t>, </t>
    </r>
    <r>
      <rPr>
        <b/>
        <i/>
        <sz val="10"/>
        <color rgb="FF222222"/>
        <rFont val="Arial"/>
      </rPr>
      <t>145</t>
    </r>
    <r>
      <rPr>
        <b/>
        <sz val="10"/>
        <color rgb="FF222222"/>
        <rFont val="Arial"/>
      </rPr>
      <t>, 109651.</t>
    </r>
  </si>
  <si>
    <t>0.037 (spring), 0.031 (summer), 0.02 (autum), 0.034 (winter)</t>
  </si>
  <si>
    <r>
      <t>Piccolroaz, S., Woolway, R. I., &amp; Merchant, C. J. (2020). Global reconstruction of twentieth century lake surface water temperature reveals different warming trends depending on the climatic zone. </t>
    </r>
    <r>
      <rPr>
        <b/>
        <i/>
        <strike/>
        <sz val="10"/>
        <color rgb="FF222222"/>
        <rFont val="Arial"/>
      </rPr>
      <t>Climatic Change</t>
    </r>
    <r>
      <rPr>
        <b/>
        <strike/>
        <sz val="10"/>
        <color rgb="FF222222"/>
        <rFont val="Arial"/>
      </rPr>
      <t>, </t>
    </r>
    <r>
      <rPr>
        <b/>
        <i/>
        <strike/>
        <sz val="10"/>
        <color rgb="FF222222"/>
        <rFont val="Arial"/>
      </rPr>
      <t>160</t>
    </r>
    <r>
      <rPr>
        <b/>
        <strike/>
        <sz val="10"/>
        <color rgb="FF222222"/>
        <rFont val="Arial"/>
      </rPr>
      <t>(3), 427-442.</t>
    </r>
  </si>
  <si>
    <t>No LSWT chnage</t>
  </si>
  <si>
    <t>OR (Notes not use)</t>
  </si>
  <si>
    <r>
      <rPr>
        <b/>
        <sz val="10"/>
        <color rgb="FF222222"/>
        <rFont val="Arial"/>
      </rPr>
      <t>Pilla, R. M., Williamson, C. E., Zhang, J., Smyth, R. L., Lenters, J. D., Brentrup, J. A., ... &amp; Fisher, T. J. (2018). Browning‐related decreases in water transparency lead to long‐term increases in surface water temperature and thermal stratification in two small lakes. </t>
    </r>
    <r>
      <rPr>
        <b/>
        <i/>
        <sz val="10"/>
        <color rgb="FF222222"/>
        <rFont val="Arial"/>
      </rPr>
      <t>Journal of Geophysical Research: Biogeosciences</t>
    </r>
    <r>
      <rPr>
        <b/>
        <sz val="10"/>
        <color rgb="FF222222"/>
        <rFont val="Arial"/>
      </rPr>
      <t>, </t>
    </r>
    <r>
      <rPr>
        <b/>
        <i/>
        <sz val="10"/>
        <color rgb="FF222222"/>
        <rFont val="Arial"/>
      </rPr>
      <t>123</t>
    </r>
    <r>
      <rPr>
        <b/>
        <sz val="10"/>
        <color rgb="FF222222"/>
        <rFont val="Arial"/>
      </rPr>
      <t>(5), 1651-1665.</t>
    </r>
  </si>
  <si>
    <r>
      <rPr>
        <b/>
        <sz val="10"/>
        <color rgb="FF222222"/>
        <rFont val="Arial"/>
      </rPr>
      <t>Shi, Y., Huang, A., Wu, Y., Lazhu, &amp; Wen, L. (2024). Trends of Summer Lake Surface Water Temperature on the Tibetan Plateau and Their Response to Climate Change. </t>
    </r>
    <r>
      <rPr>
        <b/>
        <i/>
        <sz val="10"/>
        <color rgb="FF222222"/>
        <rFont val="Arial"/>
      </rPr>
      <t>Earth and Space Science</t>
    </r>
    <r>
      <rPr>
        <b/>
        <sz val="10"/>
        <color rgb="FF222222"/>
        <rFont val="Arial"/>
      </rPr>
      <t>, </t>
    </r>
    <r>
      <rPr>
        <b/>
        <i/>
        <sz val="10"/>
        <color rgb="FF222222"/>
        <rFont val="Arial"/>
      </rPr>
      <t>11</t>
    </r>
    <r>
      <rPr>
        <b/>
        <sz val="10"/>
        <color rgb="FF222222"/>
        <rFont val="Arial"/>
      </rPr>
      <t>(12), e2024EA003910.</t>
    </r>
  </si>
  <si>
    <r>
      <rPr>
        <b/>
        <sz val="10"/>
        <color rgb="FF222222"/>
        <rFont val="Arial"/>
      </rPr>
      <t>Song, S., Yang, J., Liu, L., Bai, G., Zhou, J., &amp; McKay, D. (2024). Lake surface water temperature in China from 2001 to 2021 based on GEE and HANTS. </t>
    </r>
    <r>
      <rPr>
        <b/>
        <i/>
        <sz val="10"/>
        <color rgb="FF222222"/>
        <rFont val="Arial"/>
      </rPr>
      <t>Ecological Informatics</t>
    </r>
    <r>
      <rPr>
        <b/>
        <sz val="10"/>
        <color rgb="FF222222"/>
        <rFont val="Arial"/>
      </rPr>
      <t>, </t>
    </r>
    <r>
      <rPr>
        <b/>
        <i/>
        <sz val="10"/>
        <color rgb="FF222222"/>
        <rFont val="Arial"/>
      </rPr>
      <t>84</t>
    </r>
    <r>
      <rPr>
        <b/>
        <sz val="10"/>
        <color rgb="FF222222"/>
        <rFont val="Arial"/>
      </rPr>
      <t>, 102903.</t>
    </r>
  </si>
  <si>
    <r>
      <rPr>
        <b/>
        <sz val="10"/>
        <color rgb="FF222222"/>
        <rFont val="Arial"/>
      </rPr>
      <t>Tong, Y., Feng, L., Wang, X., Pi, X., Xu, W., &amp; Woolway, R. I. (2023). Global lakes are warming slower than surface air temperature due to accelerated evaporation. </t>
    </r>
    <r>
      <rPr>
        <b/>
        <i/>
        <sz val="10"/>
        <color rgb="FF222222"/>
        <rFont val="Arial"/>
      </rPr>
      <t>Nature Water</t>
    </r>
    <r>
      <rPr>
        <b/>
        <sz val="10"/>
        <color rgb="FF222222"/>
        <rFont val="Arial"/>
      </rPr>
      <t>, </t>
    </r>
    <r>
      <rPr>
        <b/>
        <i/>
        <sz val="10"/>
        <color rgb="FF222222"/>
        <rFont val="Arial"/>
      </rPr>
      <t>1</t>
    </r>
    <r>
      <rPr>
        <b/>
        <sz val="10"/>
        <color rgb="FF222222"/>
        <rFont val="Arial"/>
      </rPr>
      <t>(11), 929-940.</t>
    </r>
  </si>
  <si>
    <r>
      <t>Wan, W., Zhao, L., Xie, H., Liu, B., Li, H., Cui, Y., ... &amp; Hong, Y. (2018). Lake surface water temperature change over the Tibetan plateau from 2001 to 2015: A sensitive indicator of the warming climate. </t>
    </r>
    <r>
      <rPr>
        <b/>
        <i/>
        <sz val="10"/>
        <color rgb="FF222222"/>
        <rFont val="Arial"/>
        <family val="2"/>
        <charset val="1"/>
      </rPr>
      <t>Geophysical Research Letters</t>
    </r>
    <r>
      <rPr>
        <b/>
        <sz val="10"/>
        <color rgb="FF222222"/>
        <rFont val="Arial"/>
        <family val="2"/>
        <charset val="1"/>
      </rPr>
      <t>, </t>
    </r>
    <r>
      <rPr>
        <b/>
        <i/>
        <sz val="10"/>
        <color rgb="FF222222"/>
        <rFont val="Arial"/>
        <family val="2"/>
        <charset val="1"/>
      </rPr>
      <t>45</t>
    </r>
    <r>
      <rPr>
        <b/>
        <sz val="10"/>
        <color rgb="FF222222"/>
        <rFont val="Arial"/>
        <family val="2"/>
        <charset val="1"/>
      </rPr>
      <t>(20), 11-177.</t>
    </r>
  </si>
  <si>
    <r>
      <rPr>
        <b/>
        <sz val="10"/>
        <color rgb="FF222222"/>
        <rFont val="Arial"/>
      </rPr>
      <t>Woolway, R. I., Weyhenmeyer, G. A., Schmid, M., Dokulil, M. T., de Eyto, E., Maberly, S. C., ... &amp; Merchant, C. J. (2019). Substantial increase in minimum lake surface temperatures under climate change. </t>
    </r>
    <r>
      <rPr>
        <b/>
        <i/>
        <sz val="10"/>
        <color rgb="FF222222"/>
        <rFont val="Arial"/>
      </rPr>
      <t>Climatic Change</t>
    </r>
    <r>
      <rPr>
        <b/>
        <sz val="10"/>
        <color rgb="FF222222"/>
        <rFont val="Arial"/>
      </rPr>
      <t>, </t>
    </r>
    <r>
      <rPr>
        <b/>
        <i/>
        <sz val="10"/>
        <color rgb="FF222222"/>
        <rFont val="Arial"/>
      </rPr>
      <t>155</t>
    </r>
    <r>
      <rPr>
        <b/>
        <sz val="10"/>
        <color rgb="FF222222"/>
        <rFont val="Arial"/>
      </rPr>
      <t>, 81-94.</t>
    </r>
  </si>
  <si>
    <r>
      <rPr>
        <b/>
        <sz val="10"/>
        <color rgb="FF222222"/>
        <rFont val="Arial"/>
      </rPr>
      <t>Yang, K., Yu, Z., &amp; Luo, Y. (2020). Analysis on driving factors of lake surface water temperature for major lakes in Yunnan-Guizhou Plateau. </t>
    </r>
    <r>
      <rPr>
        <b/>
        <i/>
        <sz val="10"/>
        <color rgb="FF222222"/>
        <rFont val="Arial"/>
      </rPr>
      <t>Water Research</t>
    </r>
    <r>
      <rPr>
        <b/>
        <sz val="10"/>
        <color rgb="FF222222"/>
        <rFont val="Arial"/>
      </rPr>
      <t>, </t>
    </r>
    <r>
      <rPr>
        <b/>
        <i/>
        <sz val="10"/>
        <color rgb="FF222222"/>
        <rFont val="Arial"/>
      </rPr>
      <t>184</t>
    </r>
    <r>
      <rPr>
        <b/>
        <sz val="10"/>
        <color rgb="FF222222"/>
        <rFont val="Arial"/>
      </rPr>
      <t>, 116018.</t>
    </r>
  </si>
  <si>
    <r>
      <rPr>
        <b/>
        <sz val="10"/>
        <color rgb="FF222222"/>
        <rFont val="Arial"/>
      </rPr>
      <t>Yang, K., Yu, Z., Luo, Y., Yang, Y., Zhao, L., &amp; Zhou, X. (2018). Spatial and temporal variations in the relationship between lake water surface temperatures and water quality-A case study of Dianchi Lake. </t>
    </r>
    <r>
      <rPr>
        <b/>
        <i/>
        <sz val="10"/>
        <color rgb="FF222222"/>
        <rFont val="Arial"/>
      </rPr>
      <t>Science of the total environment</t>
    </r>
    <r>
      <rPr>
        <b/>
        <sz val="10"/>
        <color rgb="FF222222"/>
        <rFont val="Arial"/>
      </rPr>
      <t>, </t>
    </r>
    <r>
      <rPr>
        <b/>
        <i/>
        <sz val="10"/>
        <color rgb="FF222222"/>
        <rFont val="Arial"/>
      </rPr>
      <t>624</t>
    </r>
    <r>
      <rPr>
        <b/>
        <sz val="10"/>
        <color rgb="FF222222"/>
        <rFont val="Arial"/>
      </rPr>
      <t>, 859-871.</t>
    </r>
  </si>
  <si>
    <t>EXCLUDE - NO RATE</t>
  </si>
  <si>
    <t>Does not report rate</t>
  </si>
  <si>
    <r>
      <rPr>
        <b/>
        <sz val="10"/>
        <color rgb="FF222222"/>
        <rFont val="Arial"/>
      </rPr>
      <t>Yang, K., Yu, Z., Luo, Y., Zhou, X., &amp; Shang, C. (2019). Spatial‐temporal variation of lake surface water temperature and its driving factors in Yunnan‐Guizhou Plateau. </t>
    </r>
    <r>
      <rPr>
        <b/>
        <i/>
        <sz val="10"/>
        <color rgb="FF222222"/>
        <rFont val="Arial"/>
      </rPr>
      <t>Water Resources Research</t>
    </r>
    <r>
      <rPr>
        <b/>
        <sz val="10"/>
        <color rgb="FF222222"/>
        <rFont val="Arial"/>
      </rPr>
      <t>, </t>
    </r>
    <r>
      <rPr>
        <b/>
        <i/>
        <sz val="10"/>
        <color rgb="FF222222"/>
        <rFont val="Arial"/>
      </rPr>
      <t>55</t>
    </r>
    <r>
      <rPr>
        <b/>
        <sz val="10"/>
        <color rgb="FF222222"/>
        <rFont val="Arial"/>
      </rPr>
      <t>(6), 4688-4703.</t>
    </r>
  </si>
  <si>
    <t>Not easy to read - revisit</t>
  </si>
  <si>
    <r>
      <rPr>
        <b/>
        <sz val="10"/>
        <color rgb="FF222222"/>
        <rFont val="Arial"/>
      </rPr>
      <t>Yang, K., Zhang, Y., Luo, Y., &amp; Shang, C. (2021). Precipitation events impact on urban lake surface water temperature under the perspective of macroscopic scale. </t>
    </r>
    <r>
      <rPr>
        <b/>
        <i/>
        <sz val="10"/>
        <color rgb="FF222222"/>
        <rFont val="Arial"/>
      </rPr>
      <t>Environmental Science and Pollution Research</t>
    </r>
    <r>
      <rPr>
        <b/>
        <sz val="10"/>
        <color rgb="FF222222"/>
        <rFont val="Arial"/>
      </rPr>
      <t>, </t>
    </r>
    <r>
      <rPr>
        <b/>
        <i/>
        <sz val="10"/>
        <color rgb="FF222222"/>
        <rFont val="Arial"/>
      </rPr>
      <t>28</t>
    </r>
    <r>
      <rPr>
        <b/>
        <sz val="10"/>
        <color rgb="FF222222"/>
        <rFont val="Arial"/>
      </rPr>
      <t>, 16767-16780.</t>
    </r>
  </si>
  <si>
    <t> </t>
  </si>
  <si>
    <t>Scopus (11 June)</t>
  </si>
  <si>
    <t>https://www.scopus.com/results/results.uri?st1=%22lake+surface+water+temperature%22+%22warming%22&amp;st2=&amp;s=TITLE-ABS-KEY%28%22lake+surface+water+temperature%22+%22warming%22%29&amp;limit=50&amp;origin=searchbasic&amp;sort=plf-f&amp;src=s&amp;sot=b&amp;sdt=b&amp;sessionSearchId=6053e64ab19bbcd086630b78a92eb55b</t>
  </si>
  <si>
    <t xml:space="preserve">Brkić, Z., &amp; Larva, O. (2024). Impact of climate change on the Vrana Lake surface water temperature in Croatia using support vector regression [Article]. Journal of Hydrology: Regional Studies, 54, Article 101858. https://doi.org/10.1016/j.ejrh.2024.101858 </t>
  </si>
  <si>
    <t>EXCLUDE - FUTURE</t>
  </si>
  <si>
    <t>No rate (future only)</t>
  </si>
  <si>
    <t xml:space="preserve">Caroni, R., Greife, A. J., Bresciani, M., Giardino, C., Tellina, G., Carrea, L., Liu, X., Simis, S., Albergel, C., &amp; Pinardi, M. (2025). Examining global trends of satellite-derived water quality variables in shallow lakes [Article]. Remote Sensing Applications: Society and Environment, 38, Article 101565. https://doi.org/10.1016/j.rsase.2025.101565 </t>
  </si>
  <si>
    <t>No rate</t>
  </si>
  <si>
    <t xml:space="preserve">Giardino, C., Pinardi, M., Bresciani, M., Caroni, R., Amadori, M., Greife, A. J., Crétaux, J. F., Simis, S., Duguay, C., Merchant, C. J., Carrea, L., Yesou, H., &amp; Andral, A. (2024). Exploring the Satellite-Derived Lakes Variables for Climate Studies. International Geoscience and Remote Sensing Symposium (IGARSS), </t>
  </si>
  <si>
    <t>EXCLUDE - NO RATE / CONFERENCE-ONLY</t>
  </si>
  <si>
    <t>No rate; also only conference proceedings</t>
  </si>
  <si>
    <t xml:space="preserve">Jiao, Y., Lu, Z., &amp; Wang, M. (2025). Satellite Data Revealed That the Expansion of China’s Lakes Is Accompanied by Rising Temperatures and Wider Temperature Differences [Article]. Remote Sensing, 17(9), Article 1546. https://doi.org/10.3390/rs17091546 </t>
  </si>
  <si>
    <t>Whitney to look at</t>
  </si>
  <si>
    <t xml:space="preserve">Jungkeit-Milla, K., Pérez-Cabello, F., de Vera-García, A. V., Galofré, M., &amp; Valero-Garcés, B. (2024). Lake Surface Water Temperature in high altitude lakes in the Pyrenees: Combining satellite with monitoring data to assess recent trends [Article]. Science of the Total Environment, 933, Article 173181. https://doi.org/10.1016/j.scitotenv.2024.173181 </t>
  </si>
  <si>
    <t xml:space="preserve">Kim, H. I., Kim, D., Salamattalab, M. M., Mahdian, M., Bateni, S. M., &amp; Noori, R. (2024). Machine learning-based modeling of surface water temperature dynamics in arctic lakes [Article]. Environmental Science and Pollution Research, 31(49), 59642-59655. https://doi.org/10.1007/s11356-024-35173-x </t>
  </si>
  <si>
    <t>-</t>
  </si>
  <si>
    <t>DONE (MISSING INFO)</t>
  </si>
  <si>
    <t xml:space="preserve">Li, Z., Zhang, Z., Xiong, S., Zhang, W., &amp; Li, R. (2024). Lake Surface Temperature Predictions under Different Climate Scenarios with Machine Learning Methods: A Case Study of Qinghai Lake and Hulun Lake, China [Article]. Remote Sensing, 16(17), Article 3220. https://doi.org/10.3390/rs16173220 </t>
  </si>
  <si>
    <t>2001-2020</t>
  </si>
  <si>
    <t>Double-up - My Scholar</t>
  </si>
  <si>
    <t xml:space="preserve">Peng, J., Chen, J., Liu, S., Liu, T., Deng, F., Fan, Y., &amp; De Maeyer, P. (2024). Dynamics of the risk of algal blooms induced by surface water temperature in an alpine eutrophic lake under climate warming: Insights from Lake Dianchi [Article]. Journal of Hydrology, 643, Article 131949. https://doi.org/10.1016/j.jhydrol.2024.131949 </t>
  </si>
  <si>
    <t>MP Double up</t>
  </si>
  <si>
    <t>1994-2023</t>
  </si>
  <si>
    <t xml:space="preserve">Shi, Y., Huang, A., Wu, Y., &amp; Wen, L. (2024). Trends of Summer Lake Surface Water Temperature on the Tibetan Plateau and Their Response to Climate Change [Article]. Earth and Space Science, 11(12), Article e2024EA003910. https://doi.org/10.1029/2024EA003910 </t>
  </si>
  <si>
    <t xml:space="preserve">Song, S., Yang, J., Liu, L., Bai, G., Zhou, J., &amp; McKay, D. (2024). Lake surface water temperature in China from 2001 to 2021 based on GEE and HANTS [Article]. Ecological Informatics, 84, Article 102903. https://doi.org/10.1016/j.ecoinf.2024.102903 </t>
  </si>
  <si>
    <t>Lots of rates - 3 grups of lakes, every season and annual, 60 and 20 y periods</t>
  </si>
  <si>
    <t xml:space="preserve">Virdis, S. G. P., Kongwarakom, S., Juneng, L., Padedda, B. M., &amp; Shrestha, S. (2024). Historical and projected response of Southeast Asian lakes surface water temperature to warming climate [Article]. Environmental Research, 247, Article 118412. https://doi.org/10.1016/j.envres.2024.118412 </t>
  </si>
  <si>
    <t>1986-2020</t>
  </si>
  <si>
    <t>1985 to 2022</t>
  </si>
  <si>
    <t xml:space="preserve">Wang, X., Shi, K., Qin, B., Zhang, Y., &amp; Woolway, R. I. (2024). Disproportionate impact of atmospheric heat events on lake surface water temperature increases [Article]. Nature Climate Change, 14(11), 1172-1177. https://doi.org/10.1038/s41558-024-02122-y </t>
  </si>
  <si>
    <t>PR</t>
  </si>
  <si>
    <t>1988 to 2022</t>
  </si>
  <si>
    <t>1950 to 2020</t>
  </si>
  <si>
    <t xml:space="preserve">Xu, S., Yang, K., Zhou, X., Zhang, J., Yang, C., &amp; Luo, Y. (2024). Prediction of Surface Water Temperature and Its Spatial-Temporal Variation Characteristics of 11 Main Lakes in Yunnan-Guizhou Plateau [Article]. IEEE Journal of Selected Topics in Applied Earth Observations and Remote Sensing, 17, 2189-2200. https://doi.org/10.1109/JSTARS.2023.3335291 </t>
  </si>
  <si>
    <t xml:space="preserve">Zhang, C., Gao, Z., Luo, J., Liu, W., Chen, M., Niu, F., Wang, Y., &amp; Shang, Y. (2024). Simulation and Prediction of Thermokarst Lake Surface Temperature Changes on the Qinghai–Tibet Plateau [Article]. Remote Sensing, 16(24), Article 4645. https://doi.org/10.3390/rs16244645 </t>
  </si>
  <si>
    <t>EXCLUDED - thermokarst lakes</t>
  </si>
  <si>
    <t>1957 to 2022</t>
  </si>
  <si>
    <t xml:space="preserve">Zhang, M., Leppäranta, M., Korhola, A., Kirchner, N., Granebeck, A., Schenk, F., Weckström, K., Heikkilä, M., &amp; Weckström, J. (2024). Drivers of spatio-temporal variations in summer surface water temperatures of Arctic Fennoscandian lakes (2000–21) [Article]. Polar Research, 43, Article 9580. https://doi.org/10.33265/polar.v43.9580 </t>
  </si>
  <si>
    <t>2002-2022</t>
  </si>
  <si>
    <t>RAW SEARCH RESULTS</t>
  </si>
  <si>
    <r>
      <t>Brkić, Ž. (2023). Increasing water temperature of the largest freshwater lake on the Mediterranean islands as an indicator of global warming. </t>
    </r>
    <r>
      <rPr>
        <b/>
        <i/>
        <sz val="10"/>
        <color rgb="FF222222"/>
        <rFont val="Arial"/>
        <family val="2"/>
        <charset val="1"/>
      </rPr>
      <t>Heliyon</t>
    </r>
    <r>
      <rPr>
        <b/>
        <sz val="10"/>
        <color rgb="FF222222"/>
        <rFont val="Arial"/>
        <family val="2"/>
        <charset val="1"/>
      </rPr>
      <t>, </t>
    </r>
    <r>
      <rPr>
        <b/>
        <i/>
        <sz val="10"/>
        <color rgb="FF222222"/>
        <rFont val="Arial"/>
        <family val="2"/>
        <charset val="1"/>
      </rPr>
      <t>9</t>
    </r>
    <r>
      <rPr>
        <b/>
        <sz val="10"/>
        <color rgb="FF222222"/>
        <rFont val="Arial"/>
        <family val="2"/>
        <charset val="1"/>
      </rPr>
      <t>(8).</t>
    </r>
  </si>
  <si>
    <r>
      <t>Huang, L., Wang, X., Yan, Y., Jin, L., Yang, K., Chen, A., ... &amp; Piao, S. (2023). Attribution of lake surface water temperature change in large lakes across China over past four decades. </t>
    </r>
    <r>
      <rPr>
        <b/>
        <i/>
        <sz val="10"/>
        <color rgb="FF222222"/>
        <rFont val="Arial"/>
        <family val="2"/>
        <charset val="1"/>
      </rPr>
      <t>Journal of Geophysical Research: Atmospheres</t>
    </r>
    <r>
      <rPr>
        <b/>
        <sz val="10"/>
        <color rgb="FF222222"/>
        <rFont val="Arial"/>
        <family val="2"/>
        <charset val="1"/>
      </rPr>
      <t>, </t>
    </r>
    <r>
      <rPr>
        <b/>
        <i/>
        <sz val="10"/>
        <color rgb="FF222222"/>
        <rFont val="Arial"/>
        <family val="2"/>
        <charset val="1"/>
      </rPr>
      <t>128</t>
    </r>
    <r>
      <rPr>
        <b/>
        <sz val="10"/>
        <color rgb="FF222222"/>
        <rFont val="Arial"/>
        <family val="2"/>
        <charset val="1"/>
      </rPr>
      <t>(21), e2022JD038465.</t>
    </r>
  </si>
  <si>
    <r>
      <t>Jia, T., Yang, K., Peng, Z., Tang, L., Duan, H., &amp; Luo, Y. (2022). Review on the change trend, attribution analysis, retrieval, simulation, and prediction of lake surface water temperature. </t>
    </r>
    <r>
      <rPr>
        <b/>
        <i/>
        <sz val="10"/>
        <color rgb="FF222222"/>
        <rFont val="Arial"/>
        <family val="2"/>
        <charset val="1"/>
      </rPr>
      <t>IEEE Journal of Selected Topics in Applied Earth Observations and Remote Sensing</t>
    </r>
    <r>
      <rPr>
        <b/>
        <sz val="10"/>
        <color rgb="FF222222"/>
        <rFont val="Arial"/>
        <family val="2"/>
        <charset val="1"/>
      </rPr>
      <t>, </t>
    </r>
    <r>
      <rPr>
        <b/>
        <i/>
        <sz val="10"/>
        <color rgb="FF222222"/>
        <rFont val="Arial"/>
        <family val="2"/>
        <charset val="1"/>
      </rPr>
      <t>15</t>
    </r>
    <r>
      <rPr>
        <b/>
        <sz val="10"/>
        <color rgb="FF222222"/>
        <rFont val="Arial"/>
        <family val="2"/>
        <charset val="1"/>
      </rPr>
      <t>, 6324-6355.</t>
    </r>
  </si>
  <si>
    <r>
      <t>Li, Y., Shi, K., Zhang, Y., Zhu, G., Guo, Y., Li, H., &amp; Du, C. (2022). Warming lake surface water temperatures in Lake Qiandaohu, China: Spatiotemporal variations, influencing factors and implications for the thermal structure. </t>
    </r>
    <r>
      <rPr>
        <b/>
        <i/>
        <sz val="10"/>
        <color rgb="FF222222"/>
        <rFont val="Arial"/>
        <family val="2"/>
        <charset val="1"/>
      </rPr>
      <t>Frontiers in Environmental Science</t>
    </r>
    <r>
      <rPr>
        <b/>
        <sz val="10"/>
        <color rgb="FF222222"/>
        <rFont val="Arial"/>
        <family val="2"/>
        <charset val="1"/>
      </rPr>
      <t>, </t>
    </r>
    <r>
      <rPr>
        <b/>
        <i/>
        <sz val="10"/>
        <color rgb="FF222222"/>
        <rFont val="Arial"/>
        <family val="2"/>
        <charset val="1"/>
      </rPr>
      <t>10</t>
    </r>
    <r>
      <rPr>
        <b/>
        <sz val="10"/>
        <color rgb="FF222222"/>
        <rFont val="Arial"/>
        <family val="2"/>
        <charset val="1"/>
      </rPr>
      <t>, 995862.</t>
    </r>
  </si>
  <si>
    <r>
      <t>Lieberherr, G., &amp; Wunderle, S. (2018). Lake surface water temperature derived from 35 years of AVHRR sensor data for European lakes. </t>
    </r>
    <r>
      <rPr>
        <b/>
        <i/>
        <sz val="10"/>
        <color rgb="FF222222"/>
        <rFont val="Arial"/>
        <family val="2"/>
      </rPr>
      <t>Remote sensing</t>
    </r>
    <r>
      <rPr>
        <b/>
        <sz val="10"/>
        <color rgb="FF222222"/>
        <rFont val="Arial"/>
        <family val="2"/>
      </rPr>
      <t>, </t>
    </r>
    <r>
      <rPr>
        <b/>
        <i/>
        <sz val="10"/>
        <color rgb="FF222222"/>
        <rFont val="Arial"/>
        <family val="2"/>
      </rPr>
      <t>10</t>
    </r>
    <r>
      <rPr>
        <b/>
        <sz val="10"/>
        <color rgb="FF222222"/>
        <rFont val="Arial"/>
        <family val="2"/>
      </rPr>
      <t>(7), 990.</t>
    </r>
  </si>
  <si>
    <r>
      <t>Luo, Y., Zhang, Y., Yang, K., Yu, Z., &amp; Zhu, Y. (2019). Spatiotemporal variations in Dianchi lake’s surface water temperature from 2001 to 2017 under the influence of climate warming. </t>
    </r>
    <r>
      <rPr>
        <b/>
        <i/>
        <sz val="10"/>
        <color rgb="FF222222"/>
        <rFont val="Arial"/>
        <family val="2"/>
        <charset val="1"/>
      </rPr>
      <t>Ieee Access</t>
    </r>
    <r>
      <rPr>
        <b/>
        <sz val="10"/>
        <color rgb="FF222222"/>
        <rFont val="Arial"/>
        <family val="2"/>
        <charset val="1"/>
      </rPr>
      <t>, </t>
    </r>
    <r>
      <rPr>
        <b/>
        <i/>
        <sz val="10"/>
        <color rgb="FF222222"/>
        <rFont val="Arial"/>
        <family val="2"/>
        <charset val="1"/>
      </rPr>
      <t>7</t>
    </r>
    <r>
      <rPr>
        <b/>
        <sz val="10"/>
        <color rgb="FF222222"/>
        <rFont val="Arial"/>
        <family val="2"/>
        <charset val="1"/>
      </rPr>
      <t>, 115378-115387.</t>
    </r>
  </si>
  <si>
    <r>
      <t>Niedrist, G. H., Psenner, R., &amp; Sommaruga, R. (2018). Climate warming increases vertical and seasonal water temperature differences and inter-annual variability in a mountain lake. </t>
    </r>
    <r>
      <rPr>
        <b/>
        <i/>
        <sz val="10"/>
        <color rgb="FF222222"/>
        <rFont val="Arial"/>
        <family val="2"/>
      </rPr>
      <t>Climatic Change</t>
    </r>
    <r>
      <rPr>
        <b/>
        <sz val="10"/>
        <color rgb="FF222222"/>
        <rFont val="Arial"/>
        <family val="2"/>
      </rPr>
      <t>, </t>
    </r>
    <r>
      <rPr>
        <b/>
        <i/>
        <sz val="10"/>
        <color rgb="FF222222"/>
        <rFont val="Arial"/>
        <family val="2"/>
      </rPr>
      <t>151</t>
    </r>
    <r>
      <rPr>
        <b/>
        <sz val="10"/>
        <color rgb="FF222222"/>
        <rFont val="Arial"/>
        <family val="2"/>
      </rPr>
      <t>(3), 473-490.</t>
    </r>
  </si>
  <si>
    <r>
      <t>Peng, J., Chen, J., Liu, S., Liu, T., Deng, F., Fan, Y., &amp; De Maeyer, P. (2024). Dynamics of the risk of algal blooms induced by surface water temperature in an alpine eutrophic lake under climate warming: Insights from Lake Dianchi. </t>
    </r>
    <r>
      <rPr>
        <b/>
        <i/>
        <sz val="10"/>
        <color rgb="FF222222"/>
        <rFont val="Arial"/>
        <family val="2"/>
        <charset val="1"/>
      </rPr>
      <t>Journal of Hydrology</t>
    </r>
    <r>
      <rPr>
        <b/>
        <sz val="10"/>
        <color rgb="FF222222"/>
        <rFont val="Arial"/>
        <family val="2"/>
        <charset val="1"/>
      </rPr>
      <t>, </t>
    </r>
    <r>
      <rPr>
        <b/>
        <i/>
        <sz val="10"/>
        <color rgb="FF222222"/>
        <rFont val="Arial"/>
        <family val="2"/>
        <charset val="1"/>
      </rPr>
      <t>643</t>
    </r>
    <r>
      <rPr>
        <b/>
        <sz val="10"/>
        <color rgb="FF222222"/>
        <rFont val="Arial"/>
        <family val="2"/>
        <charset val="1"/>
      </rPr>
      <t>, 131949.</t>
    </r>
  </si>
  <si>
    <r>
      <t>Peng, Z., Yang, J., Luo, Y., Yang, K., &amp; Shang, C. (2021). Impact of climate warming on the surface water temperature of plateau lake. </t>
    </r>
    <r>
      <rPr>
        <b/>
        <i/>
        <sz val="10"/>
        <color rgb="FF222222"/>
        <rFont val="Arial"/>
        <family val="2"/>
        <charset val="1"/>
      </rPr>
      <t>Acta Geophysica</t>
    </r>
    <r>
      <rPr>
        <b/>
        <sz val="10"/>
        <color rgb="FF222222"/>
        <rFont val="Arial"/>
        <family val="2"/>
        <charset val="1"/>
      </rPr>
      <t>, </t>
    </r>
    <r>
      <rPr>
        <b/>
        <i/>
        <sz val="10"/>
        <color rgb="FF222222"/>
        <rFont val="Arial"/>
        <family val="2"/>
        <charset val="1"/>
      </rPr>
      <t>69</t>
    </r>
    <r>
      <rPr>
        <b/>
        <sz val="10"/>
        <color rgb="FF222222"/>
        <rFont val="Arial"/>
        <family val="2"/>
        <charset val="1"/>
      </rPr>
      <t>, 895-907.</t>
    </r>
  </si>
  <si>
    <r>
      <t>Peng, Z., Yang, K., Shang, C., Duan, H., Tang, L., Zhang, Y., ... &amp; Luo, Y. (2022). Attribution analysis of lake surface water temperature changing—taking China’s six main lakes as example. </t>
    </r>
    <r>
      <rPr>
        <b/>
        <i/>
        <sz val="10"/>
        <color rgb="FF222222"/>
        <rFont val="Arial"/>
        <family val="2"/>
        <charset val="1"/>
      </rPr>
      <t>Ecological Indicators</t>
    </r>
    <r>
      <rPr>
        <b/>
        <sz val="10"/>
        <color rgb="FF222222"/>
        <rFont val="Arial"/>
        <family val="2"/>
        <charset val="1"/>
      </rPr>
      <t>, </t>
    </r>
    <r>
      <rPr>
        <b/>
        <i/>
        <sz val="10"/>
        <color rgb="FF222222"/>
        <rFont val="Arial"/>
        <family val="2"/>
        <charset val="1"/>
      </rPr>
      <t>145</t>
    </r>
    <r>
      <rPr>
        <b/>
        <sz val="10"/>
        <color rgb="FF222222"/>
        <rFont val="Arial"/>
        <family val="2"/>
        <charset val="1"/>
      </rPr>
      <t>, 109651.</t>
    </r>
  </si>
  <si>
    <r>
      <t>Piccolroaz, S., Woolway, R. I., &amp; Merchant, C. J. (2020). Global reconstruction of twentieth century lake surface water temperature reveals different warming trends depending on the climatic zone. </t>
    </r>
    <r>
      <rPr>
        <b/>
        <i/>
        <sz val="10"/>
        <color rgb="FF222222"/>
        <rFont val="Arial"/>
        <family val="2"/>
        <charset val="1"/>
      </rPr>
      <t>Climatic Change</t>
    </r>
    <r>
      <rPr>
        <b/>
        <sz val="10"/>
        <color rgb="FF222222"/>
        <rFont val="Arial"/>
        <family val="2"/>
        <charset val="1"/>
      </rPr>
      <t>, </t>
    </r>
    <r>
      <rPr>
        <b/>
        <i/>
        <sz val="10"/>
        <color rgb="FF222222"/>
        <rFont val="Arial"/>
        <family val="2"/>
        <charset val="1"/>
      </rPr>
      <t>160</t>
    </r>
    <r>
      <rPr>
        <b/>
        <sz val="10"/>
        <color rgb="FF222222"/>
        <rFont val="Arial"/>
        <family val="2"/>
        <charset val="1"/>
      </rPr>
      <t>(3), 427-442.</t>
    </r>
  </si>
  <si>
    <r>
      <t>Pilla, R. M., Williamson, C. E., Zhang, J., Smyth, R. L., Lenters, J. D., Brentrup, J. A., ... &amp; Fisher, T. J. (2018). Browning‐related decreases in water transparency lead to long‐term increases in surface water temperature and thermal stratification in two small lakes. </t>
    </r>
    <r>
      <rPr>
        <b/>
        <i/>
        <sz val="10"/>
        <color rgb="FF222222"/>
        <rFont val="Arial"/>
        <family val="2"/>
      </rPr>
      <t>Journal of Geophysical Research: Biogeosciences</t>
    </r>
    <r>
      <rPr>
        <b/>
        <sz val="10"/>
        <color rgb="FF222222"/>
        <rFont val="Arial"/>
        <family val="2"/>
      </rPr>
      <t>, </t>
    </r>
    <r>
      <rPr>
        <b/>
        <i/>
        <sz val="10"/>
        <color rgb="FF222222"/>
        <rFont val="Arial"/>
        <family val="2"/>
      </rPr>
      <t>123</t>
    </r>
    <r>
      <rPr>
        <b/>
        <sz val="10"/>
        <color rgb="FF222222"/>
        <rFont val="Arial"/>
        <family val="2"/>
      </rPr>
      <t>(5), 1651-1665.</t>
    </r>
  </si>
  <si>
    <r>
      <t>Shi, Y., Huang, A., Wu, Y., Lazhu, &amp; Wen, L. (2024). Trends of Summer Lake Surface Water Temperature on the Tibetan Plateau and Their Response to Climate Change. </t>
    </r>
    <r>
      <rPr>
        <b/>
        <i/>
        <sz val="10"/>
        <color rgb="FF222222"/>
        <rFont val="Arial"/>
        <family val="2"/>
        <charset val="1"/>
      </rPr>
      <t>Earth and Space Science</t>
    </r>
    <r>
      <rPr>
        <b/>
        <sz val="10"/>
        <color rgb="FF222222"/>
        <rFont val="Arial"/>
        <family val="2"/>
        <charset val="1"/>
      </rPr>
      <t>, </t>
    </r>
    <r>
      <rPr>
        <b/>
        <i/>
        <sz val="10"/>
        <color rgb="FF222222"/>
        <rFont val="Arial"/>
        <family val="2"/>
        <charset val="1"/>
      </rPr>
      <t>11</t>
    </r>
    <r>
      <rPr>
        <b/>
        <sz val="10"/>
        <color rgb="FF222222"/>
        <rFont val="Arial"/>
        <family val="2"/>
        <charset val="1"/>
      </rPr>
      <t>(12), e2024EA003910.</t>
    </r>
  </si>
  <si>
    <r>
      <t>Song, S., Yang, J., Liu, L., Bai, G., Zhou, J., &amp; McKay, D. (2024). Lake surface water temperature in China from 2001 to 2021 based on GEE and HANTS. </t>
    </r>
    <r>
      <rPr>
        <b/>
        <i/>
        <sz val="10"/>
        <color rgb="FF222222"/>
        <rFont val="Arial"/>
        <family val="2"/>
        <charset val="1"/>
      </rPr>
      <t>Ecological Informatics</t>
    </r>
    <r>
      <rPr>
        <b/>
        <sz val="10"/>
        <color rgb="FF222222"/>
        <rFont val="Arial"/>
        <family val="2"/>
        <charset val="1"/>
      </rPr>
      <t>, </t>
    </r>
    <r>
      <rPr>
        <b/>
        <i/>
        <sz val="10"/>
        <color rgb="FF222222"/>
        <rFont val="Arial"/>
        <family val="2"/>
        <charset val="1"/>
      </rPr>
      <t>84</t>
    </r>
    <r>
      <rPr>
        <b/>
        <sz val="10"/>
        <color rgb="FF222222"/>
        <rFont val="Arial"/>
        <family val="2"/>
        <charset val="1"/>
      </rPr>
      <t>, 102903.</t>
    </r>
  </si>
  <si>
    <r>
      <t>Tong, Y., Feng, L., Wang, X., Pi, X., Xu, W., &amp; Woolway, R. I. (2023). Global lakes are warming slower than surface air temperature due to accelerated evaporation. </t>
    </r>
    <r>
      <rPr>
        <b/>
        <i/>
        <sz val="10"/>
        <color rgb="FF222222"/>
        <rFont val="Arial"/>
        <family val="2"/>
        <charset val="1"/>
      </rPr>
      <t>Nature Water</t>
    </r>
    <r>
      <rPr>
        <b/>
        <sz val="10"/>
        <color rgb="FF222222"/>
        <rFont val="Arial"/>
        <family val="2"/>
        <charset val="1"/>
      </rPr>
      <t>, </t>
    </r>
    <r>
      <rPr>
        <b/>
        <i/>
        <sz val="10"/>
        <color rgb="FF222222"/>
        <rFont val="Arial"/>
        <family val="2"/>
        <charset val="1"/>
      </rPr>
      <t>1</t>
    </r>
    <r>
      <rPr>
        <b/>
        <sz val="10"/>
        <color rgb="FF222222"/>
        <rFont val="Arial"/>
        <family val="2"/>
        <charset val="1"/>
      </rPr>
      <t>(11), 929-940.</t>
    </r>
  </si>
  <si>
    <r>
      <t>Woolway, R. I., Weyhenmeyer, G. A., Schmid, M., Dokulil, M. T., de Eyto, E., Maberly, S. C., ... &amp; Merchant, C. J. (2019). Substantial increase in minimum lake surface temperatures under climate change. </t>
    </r>
    <r>
      <rPr>
        <b/>
        <i/>
        <sz val="10"/>
        <color rgb="FF222222"/>
        <rFont val="Arial"/>
        <family val="2"/>
      </rPr>
      <t>Climatic Change</t>
    </r>
    <r>
      <rPr>
        <b/>
        <sz val="10"/>
        <color rgb="FF222222"/>
        <rFont val="Arial"/>
        <family val="2"/>
      </rPr>
      <t>, </t>
    </r>
    <r>
      <rPr>
        <b/>
        <i/>
        <sz val="10"/>
        <color rgb="FF222222"/>
        <rFont val="Arial"/>
        <family val="2"/>
      </rPr>
      <t>155</t>
    </r>
    <r>
      <rPr>
        <b/>
        <sz val="10"/>
        <color rgb="FF222222"/>
        <rFont val="Arial"/>
        <family val="2"/>
      </rPr>
      <t>, 81-94.</t>
    </r>
  </si>
  <si>
    <r>
      <t>Yang, K., Yu, Z., &amp; Luo, Y. (2020). Analysis on driving factors of lake surface water temperature for major lakes in Yunnan-Guizhou Plateau. </t>
    </r>
    <r>
      <rPr>
        <b/>
        <i/>
        <sz val="10"/>
        <color rgb="FF222222"/>
        <rFont val="Arial"/>
        <family val="2"/>
        <charset val="1"/>
      </rPr>
      <t>Water Research</t>
    </r>
    <r>
      <rPr>
        <b/>
        <sz val="10"/>
        <color rgb="FF222222"/>
        <rFont val="Arial"/>
        <family val="2"/>
        <charset val="1"/>
      </rPr>
      <t>, </t>
    </r>
    <r>
      <rPr>
        <b/>
        <i/>
        <sz val="10"/>
        <color rgb="FF222222"/>
        <rFont val="Arial"/>
        <family val="2"/>
        <charset val="1"/>
      </rPr>
      <t>184</t>
    </r>
    <r>
      <rPr>
        <b/>
        <sz val="10"/>
        <color rgb="FF222222"/>
        <rFont val="Arial"/>
        <family val="2"/>
        <charset val="1"/>
      </rPr>
      <t>, 116018.</t>
    </r>
  </si>
  <si>
    <r>
      <t>Yang, K., Yu, Z., Luo, Y., Yang, Y., Zhao, L., &amp; Zhou, X. (2018). Spatial and temporal variations in the relationship between lake water surface temperatures and water quality-A case study of Dianchi Lake. </t>
    </r>
    <r>
      <rPr>
        <b/>
        <i/>
        <sz val="10"/>
        <color rgb="FF222222"/>
        <rFont val="Arial"/>
        <family val="2"/>
      </rPr>
      <t>Science of the total environment</t>
    </r>
    <r>
      <rPr>
        <b/>
        <sz val="10"/>
        <color rgb="FF222222"/>
        <rFont val="Arial"/>
        <family val="2"/>
      </rPr>
      <t>, </t>
    </r>
    <r>
      <rPr>
        <b/>
        <i/>
        <sz val="10"/>
        <color rgb="FF222222"/>
        <rFont val="Arial"/>
        <family val="2"/>
      </rPr>
      <t>624</t>
    </r>
    <r>
      <rPr>
        <b/>
        <sz val="10"/>
        <color rgb="FF222222"/>
        <rFont val="Arial"/>
        <family val="2"/>
      </rPr>
      <t>, 859-871.</t>
    </r>
  </si>
  <si>
    <r>
      <t>Yang, K., Yu, Z., Luo, Y., Zhou, X., &amp; Shang, C. (2019). Spatial‐temporal variation of lake surface water temperature and its driving factors in Yunnan‐Guizhou Plateau. </t>
    </r>
    <r>
      <rPr>
        <b/>
        <i/>
        <sz val="10"/>
        <color rgb="FF222222"/>
        <rFont val="Arial"/>
        <family val="2"/>
        <charset val="1"/>
      </rPr>
      <t>Water Resources Research</t>
    </r>
    <r>
      <rPr>
        <b/>
        <sz val="10"/>
        <color rgb="FF222222"/>
        <rFont val="Arial"/>
        <family val="2"/>
        <charset val="1"/>
      </rPr>
      <t>, </t>
    </r>
    <r>
      <rPr>
        <b/>
        <i/>
        <sz val="10"/>
        <color rgb="FF222222"/>
        <rFont val="Arial"/>
        <family val="2"/>
        <charset val="1"/>
      </rPr>
      <t>55</t>
    </r>
    <r>
      <rPr>
        <b/>
        <sz val="10"/>
        <color rgb="FF222222"/>
        <rFont val="Arial"/>
        <family val="2"/>
        <charset val="1"/>
      </rPr>
      <t>(6), 4688-4703.</t>
    </r>
  </si>
  <si>
    <r>
      <t>Yang, K., Zhang, Y., Luo, Y., &amp; Shang, C. (2021). Precipitation events impact on urban lake surface water temperature under the perspective of macroscopic scale. </t>
    </r>
    <r>
      <rPr>
        <b/>
        <i/>
        <sz val="10"/>
        <color rgb="FF222222"/>
        <rFont val="Arial"/>
        <family val="2"/>
      </rPr>
      <t>Environmental Science and Pollution Research</t>
    </r>
    <r>
      <rPr>
        <b/>
        <sz val="10"/>
        <color rgb="FF222222"/>
        <rFont val="Arial"/>
        <family val="2"/>
      </rPr>
      <t>, </t>
    </r>
    <r>
      <rPr>
        <b/>
        <i/>
        <sz val="10"/>
        <color rgb="FF222222"/>
        <rFont val="Arial"/>
        <family val="2"/>
      </rPr>
      <t>28</t>
    </r>
    <r>
      <rPr>
        <b/>
        <sz val="10"/>
        <color rgb="FF222222"/>
        <rFont val="Arial"/>
        <family val="2"/>
      </rPr>
      <t>, 16767-16780.</t>
    </r>
  </si>
  <si>
    <t>SEARCHING FOR DOUBLES</t>
  </si>
  <si>
    <t>Keyword</t>
  </si>
  <si>
    <t>Relevant</t>
  </si>
  <si>
    <t>First author</t>
  </si>
  <si>
    <t>"pond" "surface water temperature" "warming"</t>
  </si>
  <si>
    <t>Reconstruction of surface water temperature in lakes as a source for long-term analysis of its changes</t>
  </si>
  <si>
    <t>Sojka</t>
  </si>
  <si>
    <t>already reported</t>
  </si>
  <si>
    <t>Dokulil</t>
  </si>
  <si>
    <t>Continent</t>
  </si>
  <si>
    <r>
      <t>Dokulil, M. T., de Eyto, E., Maberly, S. C., May, L., Weyhenmeyer, G. A., &amp; Woolway, R. I. (2021). Increasing maximum lake surface temperature under climate change. </t>
    </r>
    <r>
      <rPr>
        <i/>
        <sz val="13"/>
        <color rgb="FF161616"/>
        <rFont val="Source Sans Pro"/>
        <family val="2"/>
        <charset val="1"/>
      </rPr>
      <t>Climatic Change</t>
    </r>
    <r>
      <rPr>
        <sz val="13"/>
        <color rgb="FF161616"/>
        <rFont val="Source Sans Pro"/>
        <family val="2"/>
        <charset val="1"/>
      </rPr>
      <t> , </t>
    </r>
    <r>
      <rPr>
        <i/>
        <sz val="13"/>
        <color rgb="FF161616"/>
        <rFont val="Source Sans Pro"/>
        <family val="2"/>
        <charset val="1"/>
      </rPr>
      <t>165</t>
    </r>
    <r>
      <rPr>
        <sz val="13"/>
        <color rgb="FF161616"/>
        <rFont val="Source Sans Pro"/>
        <family val="2"/>
        <charset val="1"/>
      </rPr>
      <t> (3), 56. https://doi.org/10.1007/s10584-021-03085-1</t>
    </r>
  </si>
  <si>
    <t>Validation and trend analysis of satellite-derived surface water temperature observations over Adirondack lakes</t>
  </si>
  <si>
    <t>Azarderakhsh</t>
  </si>
  <si>
    <t>Landsat 5 and 7</t>
  </si>
  <si>
    <r>
      <t>Azarderakhsh, M., Mossel, C., Khanom, F., Malik, A., Bah, A., Borrelli, J., ... &amp; Rose, K. Validation and Trend Analysis of Satellite-Derived Surface Water Temperature Observations Over Adirondack Lakes. </t>
    </r>
    <r>
      <rPr>
        <i/>
        <sz val="10"/>
        <color rgb="FF222222"/>
        <rFont val="Arial"/>
        <family val="2"/>
        <charset val="1"/>
      </rPr>
      <t>Available at SSRN 5000849</t>
    </r>
    <r>
      <rPr>
        <sz val="10"/>
        <color rgb="FF222222"/>
        <rFont val="Arial"/>
        <family val="2"/>
        <charset val="1"/>
      </rPr>
      <t>.</t>
    </r>
  </si>
  <si>
    <t>Thermal responses of the largest freshwater lake in the Tibetan plateau and its nearby saline lake to climate change</t>
  </si>
  <si>
    <t>Wen</t>
  </si>
  <si>
    <r>
      <t>Wen, L., Wang, C., Li, Z., Zhao, L., Lyu, S., Leppäranta, M., ... &amp; Chen, S. (2022). Thermal responses of the largest freshwater lake in the Tibetan Plateau and its nearby saline lake to climate change. </t>
    </r>
    <r>
      <rPr>
        <i/>
        <sz val="10"/>
        <color rgb="FF222222"/>
        <rFont val="Arial"/>
        <family val="2"/>
        <charset val="1"/>
      </rPr>
      <t>Remote Sensing</t>
    </r>
    <r>
      <rPr>
        <sz val="10"/>
        <color rgb="FF222222"/>
        <rFont val="Arial"/>
        <family val="2"/>
        <charset val="1"/>
      </rPr>
      <t>, </t>
    </r>
    <r>
      <rPr>
        <i/>
        <sz val="10"/>
        <color rgb="FF222222"/>
        <rFont val="Arial"/>
        <family val="2"/>
        <charset val="1"/>
      </rPr>
      <t>14</t>
    </r>
    <r>
      <rPr>
        <sz val="10"/>
        <color rgb="FF222222"/>
        <rFont val="Arial"/>
        <family val="2"/>
        <charset val="1"/>
      </rPr>
      <t>(8), 1774.</t>
    </r>
  </si>
  <si>
    <t>"pond" "surface water temperature" "trend"</t>
  </si>
  <si>
    <t>Xie</t>
  </si>
  <si>
    <t>Spatiotemporal variations of lake surfaec temperature across the Tibetan Plateau using MODIS LST product</t>
  </si>
  <si>
    <t>Song</t>
  </si>
  <si>
    <t>Lieberherr</t>
  </si>
  <si>
    <t>Trends of summer lake surface water temperature on the Tibetan Plateau and their response to climate change</t>
  </si>
  <si>
    <t>Shi</t>
  </si>
  <si>
    <t>Lake surface temperature [in "State of the Climate 2016"]</t>
  </si>
  <si>
    <t>Woolway</t>
  </si>
  <si>
    <t>Hemisphere</t>
  </si>
  <si>
    <t>681?</t>
  </si>
  <si>
    <t>Microsoft Word - Woolway_etal_SotC_2017.docx</t>
  </si>
  <si>
    <t>Southern Hemisphere</t>
  </si>
  <si>
    <t>Evidence of climate change based on lake surface temperature trends in South Central Chile</t>
  </si>
  <si>
    <t>Aranda</t>
  </si>
  <si>
    <t>Estimating surface temperature changes of lakes in the Tibetan Plateau using MODIS LST data</t>
  </si>
  <si>
    <t>Zhang</t>
  </si>
  <si>
    <t>Substantial increase in minimum lake surface temperatures under climate change</t>
  </si>
  <si>
    <t>Lake surface temperature [in "State of the Climate 2015"]</t>
  </si>
  <si>
    <t>Great Lakes</t>
  </si>
  <si>
    <t>Woolway et al., 2016</t>
  </si>
  <si>
    <t>mention of lake Taupo</t>
  </si>
  <si>
    <t>Microsoft Word - Lake_surface_temperatures.docx</t>
  </si>
  <si>
    <t>Attribution of lake surface water temperature change in large lakes across China over past four decades</t>
  </si>
  <si>
    <t>Huang</t>
  </si>
  <si>
    <t>Four decades of surface water temperature, precipitation, and wind speed trends over lakes of Greece</t>
  </si>
  <si>
    <t>Stefanidis</t>
  </si>
  <si>
    <t>Long-term trends of lake surface water temperatures in lowland Polish temperate lakes</t>
  </si>
  <si>
    <t>Wang</t>
  </si>
  <si>
    <t>Lake surface temperature in China from 2001 to 2021 based on GEE and HANTS</t>
  </si>
  <si>
    <t>Four decades of lake surface temperature in the Northwest Territories, Canada, using a lake-specific satellite-derived dataset</t>
  </si>
  <si>
    <t>Attiah</t>
  </si>
  <si>
    <t>61°N and 67°N</t>
  </si>
  <si>
    <t>120°W and 102°W</t>
  </si>
  <si>
    <t>ice cover</t>
  </si>
  <si>
    <t>November-April</t>
  </si>
  <si>
    <t>Analysis of climate change effects on surface temperature in central-Italy lakes using satellite data time-series</t>
  </si>
  <si>
    <t>De Santis</t>
  </si>
  <si>
    <t>42.12 N</t>
  </si>
  <si>
    <t>12.23 E</t>
  </si>
  <si>
    <t>42.113 N</t>
  </si>
  <si>
    <t>12.315 E</t>
  </si>
  <si>
    <t>Qiu</t>
  </si>
  <si>
    <t>Reconstructing six decades of surface temperatures at a shallow lake</t>
  </si>
  <si>
    <t>Seven decades of surface temperature changes in Central European Lakes: What is next?</t>
  </si>
  <si>
    <t>Ptak</t>
  </si>
  <si>
    <t>Long-term trends of lake surface water temperatures in lowland polish temperate lakes</t>
  </si>
  <si>
    <t>Historical and projected response of Southeast Asian lakes surface water temperature to warming climate</t>
  </si>
  <si>
    <t>Virdis</t>
  </si>
  <si>
    <t>Four decades of surface temperature, precipitation, and wind speed trends over lakes of Greece</t>
  </si>
  <si>
    <t>next</t>
  </si>
  <si>
    <t>seven decades of surface temperature changes in Central European lakes: what is next?</t>
  </si>
  <si>
    <t>Trends of lake temperature, mixing depth and ice cover thickness of European lakes during the last four decades</t>
  </si>
  <si>
    <t>Stedanidis</t>
  </si>
  <si>
    <t>The impact of global warming on lake surface water temperature in Poland- the application of empirical-statistical downscaling, 1971-2100</t>
  </si>
  <si>
    <t>Czernecki</t>
  </si>
  <si>
    <t>Everything lost? Recreating the surface water temperature of unmonitored lakes in Poland</t>
  </si>
  <si>
    <t>Ptak et al., 2023</t>
  </si>
  <si>
    <t>Multi-decadal change in summer mean water temperature in lake Konnevesi, Finland (1984-2021)</t>
  </si>
  <si>
    <t>Noori</t>
  </si>
  <si>
    <t>61.9241°</t>
  </si>
  <si>
    <t>25.7482°</t>
  </si>
  <si>
    <t>Lake surface temperature [in" State of the climate in 2015"]</t>
  </si>
  <si>
    <t>Evaluation of the Lake Titicaca's surface water temperature using LST MODIS time series (2000-2020)</t>
  </si>
  <si>
    <t>Aguilar-Lome</t>
  </si>
  <si>
    <t>-15.74°</t>
  </si>
  <si>
    <t>-69.50°</t>
  </si>
  <si>
    <t>lakeCoSTR: a tool to facilitate use of Landsat Collection 2 to estimate lake surface water temperatures</t>
  </si>
  <si>
    <t>Herrick</t>
  </si>
  <si>
    <t>43.3802°</t>
  </si>
  <si>
    <t>-72.0527°</t>
  </si>
  <si>
    <t>How to extreme lake water temperatures in Poland response to climate change?</t>
  </si>
  <si>
    <t>Olowoyeye</t>
  </si>
  <si>
    <t>Discard</t>
  </si>
  <si>
    <t>Evaluation of the thermal impact of stormwater management ponds</t>
  </si>
  <si>
    <t>Sabouri</t>
  </si>
  <si>
    <t>Jia</t>
  </si>
  <si>
    <t>Thermal investigation of stormwater management ponds</t>
  </si>
  <si>
    <t>Simulation of water temperature in a small pond using parametric statistical models: implications of climate warming</t>
  </si>
  <si>
    <t>Ali</t>
  </si>
  <si>
    <t>0.02-0.057</t>
  </si>
  <si>
    <t>Bada Kheda watershed, Rajasthan, India</t>
  </si>
  <si>
    <t>25° 36′ to 25° 51′ N</t>
  </si>
  <si>
    <t>75° 15′ to 75° 38′ E</t>
  </si>
  <si>
    <t>continuous in situ measurements</t>
  </si>
  <si>
    <t>simple linear regression</t>
  </si>
  <si>
    <t>min,max</t>
  </si>
  <si>
    <t>annual,annual</t>
  </si>
  <si>
    <r>
      <t>Ali, S., Mishra, P. K., Islam, A., &amp; Alam, N. M. (2016). Simulation of water temperature in a small pond using parametric statistical models: implications of climate warming. </t>
    </r>
    <r>
      <rPr>
        <i/>
        <sz val="10"/>
        <color rgb="FF222222"/>
        <rFont val="Arial"/>
        <family val="2"/>
        <charset val="1"/>
      </rPr>
      <t>Journal of Environmental Engineering</t>
    </r>
    <r>
      <rPr>
        <sz val="10"/>
        <color rgb="FF222222"/>
        <rFont val="Arial"/>
        <family val="2"/>
        <charset val="1"/>
      </rPr>
      <t>, </t>
    </r>
    <r>
      <rPr>
        <i/>
        <sz val="10"/>
        <color rgb="FF222222"/>
        <rFont val="Arial"/>
        <family val="2"/>
        <charset val="1"/>
      </rPr>
      <t>142</t>
    </r>
    <r>
      <rPr>
        <sz val="10"/>
        <color rgb="FF222222"/>
        <rFont val="Arial"/>
        <family val="2"/>
        <charset val="1"/>
      </rPr>
      <t>(3), 04015085.</t>
    </r>
  </si>
  <si>
    <t>Ali et al., 2015</t>
  </si>
  <si>
    <t>American Society of Civil Engineers</t>
  </si>
  <si>
    <t>continuous water temperature measurements with liquid thermometer at 10mm below surface; simple linear regression was almost as good as the four-parameter nonlinear logistic regression model</t>
  </si>
  <si>
    <t>Simulation of Water Temperature in a Small Pond Using Parametric Statistical Models: Implications of Climate Warming</t>
  </si>
  <si>
    <t>Estimating heat stress effects on the sustainability of traditional freshwater pond fishery systems under climate change</t>
  </si>
  <si>
    <t>Orsag</t>
  </si>
  <si>
    <t>Groundwater/surface water temperature variations and hydrogeological implication in Donana National Park</t>
  </si>
  <si>
    <t>Yanes</t>
  </si>
  <si>
    <t>Reviewing controls of wetland water temperature change across scales and typologies</t>
  </si>
  <si>
    <t>Krochta</t>
  </si>
  <si>
    <t>Modelling dry-weather temperature profiles in urban stormwater management ponds</t>
  </si>
  <si>
    <t>Stajkowski</t>
  </si>
  <si>
    <t>Impact of retention ponds on surface water temperature and water quality of natural streams in Southern Louisiana</t>
  </si>
  <si>
    <t>Gautam</t>
  </si>
  <si>
    <t>Modeling stormwater management pond thermal impacts during storm events</t>
  </si>
  <si>
    <t>The thermal behaviour of French water bodies: from ponds to Lake Geneva</t>
  </si>
  <si>
    <t>Prats</t>
  </si>
  <si>
    <t>Estimation of surface water temperature in small recharge pond from air temperature</t>
  </si>
  <si>
    <t>Water temperature dynamics and the prevalance of daytime stratification in small temperate shallow lakes</t>
  </si>
  <si>
    <t>Martinsen</t>
  </si>
  <si>
    <t>Simulating impacts of precipitation in ice cover and surface water temperature across large lakes</t>
  </si>
  <si>
    <t>Fujisaki-Manome</t>
  </si>
  <si>
    <t>Spatial-temporal characteristics of surface thermal environment and its effect on Lake surface water temperature in Dianchi Lake basin</t>
  </si>
  <si>
    <t>Zhao</t>
  </si>
  <si>
    <t>urban effect on warming</t>
  </si>
  <si>
    <t>Automated mapping of surface water temperature in the Great Lakes</t>
  </si>
  <si>
    <t>Schwab</t>
  </si>
  <si>
    <t>Microbial water quality of pond Alleben (Gaziantep, Turkey) in winter and climaticchanges in the region</t>
  </si>
  <si>
    <t>Mercimek Takci</t>
  </si>
  <si>
    <t>air temperature warming rate of 1.58C from 1990-2020</t>
  </si>
  <si>
    <t>Climate, site and pond design</t>
  </si>
  <si>
    <t>Kelly</t>
  </si>
  <si>
    <t>Long-term effects of surface-water temperature increase on plankton communities in artificially heated lakes: insights from eDNA metabarcoding</t>
  </si>
  <si>
    <t>Beng</t>
  </si>
  <si>
    <t>A one hundred and seventeen year coastal water temperature record from Woods Hole, Massachusetts</t>
  </si>
  <si>
    <t>Nixon</t>
  </si>
  <si>
    <t>coastal temperatures</t>
  </si>
  <si>
    <t>Surface water temperature modelling to estimate Czech fishery productivity under climate change</t>
  </si>
  <si>
    <t>Svobodova</t>
  </si>
  <si>
    <t>could not access</t>
  </si>
  <si>
    <t>Changes in air temperature and precipitation chemistry linked to water temperature and acidity trends in freshwater lakes of Cape Cod National Seashore (Massachusetts, USA)</t>
  </si>
  <si>
    <t>Smith</t>
  </si>
  <si>
    <t>A new finding on the prevalence of rapid warming during lake ice melting on the Tibetan Plateau</t>
  </si>
  <si>
    <t>Yang</t>
  </si>
  <si>
    <t>Substantial overnight reaeration by convective cooling discovered in pond ecosystem</t>
  </si>
  <si>
    <t>Holgerson</t>
  </si>
  <si>
    <t>Changes in the thermal structure of freshwater lake within Cape Cod National Seashore (Massachusetts, USA) from 1996 to 2014</t>
  </si>
  <si>
    <t>Increased risk of cyanobacterial blooms in northern high-latitude lakes through climate warming and phosphorus enrichment</t>
  </si>
  <si>
    <t>Przytulska</t>
  </si>
  <si>
    <t>only abstract</t>
  </si>
  <si>
    <t>Large-scale climatic efects on traditional Hawaiian fishpond aquaculture</t>
  </si>
  <si>
    <t>McCoy</t>
  </si>
  <si>
    <t>A multiproxy investigation of late-glacial climate and vegetation change at pine ridge pond, southwest new bunswick, canada</t>
  </si>
  <si>
    <t>Levesque</t>
  </si>
  <si>
    <t>assumed reject as it is far outside the years being considered in most papers</t>
  </si>
  <si>
    <t>On the observations of heat economy at komagaike irrigation reservoir</t>
  </si>
  <si>
    <t>Arai</t>
  </si>
  <si>
    <t>/all overlap/</t>
  </si>
  <si>
    <t>Tracking global large lake surface temperature variation from space using MODIS land surface temperature product</t>
  </si>
  <si>
    <t>Lake surface temperatures in a changing climate: a global sensitivity analysis</t>
  </si>
  <si>
    <t>Schmid</t>
  </si>
  <si>
    <t>predictions of temperature, comment current rates of change between 0.01/yr and 0.1/yr</t>
  </si>
  <si>
    <t>Lake surface temperature retrieval form Landsat-8 and retrospective analysis in Karaoun Reservoir, Lebanon</t>
  </si>
  <si>
    <t>Sharaf</t>
  </si>
  <si>
    <t>Lake surface temperature retrieved from Landsat satellite series (1984 to 2021) for the North Slave Region</t>
  </si>
  <si>
    <t>On the predictability of lake surface temperature using air temperature in a changing climate: a case study for Lake Tahoe (USA)</t>
  </si>
  <si>
    <t>Piccolroaz</t>
  </si>
  <si>
    <t>Spatiotemporal analysis of surface temperature changes in large and medium-sized lake of Zinjiang from 2002 to 2022</t>
  </si>
  <si>
    <t>Simulation and prediction of thermokarst lake surface temperature changes on the Qinghai-Tibet Plateau</t>
  </si>
  <si>
    <t>Lake surface temperature predictions under different climate scenarios with machine learning methods: a case study of Qinghai lake and Hulun lake, China</t>
  </si>
  <si>
    <t>Lijuan</t>
  </si>
  <si>
    <t>Existing dataset suggests lakes in agricultural watersheds are warming faster than urban or forested lakes</t>
  </si>
  <si>
    <t>Lake surface and downstream river temperature response to the retreat of a lake-terminating glacier</t>
  </si>
  <si>
    <t>Pelto</t>
  </si>
  <si>
    <t>Lake surface temperature retrieval study based on Landsat 8 satellite imagery - a case study of Poyang Lake</t>
  </si>
  <si>
    <t>Kong</t>
  </si>
  <si>
    <t>Impact of water hyacinth ingestation on water quality parameters in Lake Tana, Ethiopia</t>
  </si>
  <si>
    <t>Bayable</t>
  </si>
  <si>
    <t>Long-term trends in water transparency of Tibetan Plateau lakes and teh response to extreme climate events</t>
  </si>
  <si>
    <t>Liu</t>
  </si>
  <si>
    <t>Seasonal lake surface temperature trends in the Adirondacks via remote sensing</t>
  </si>
  <si>
    <t>Mossel</t>
  </si>
  <si>
    <t>The dynamics of Paiko Co lake area in response to climate change</t>
  </si>
  <si>
    <t>Climate projections over the Great Lakes Region: using two-way coupling of a regional climate model with a 3-D lake model</t>
  </si>
  <si>
    <t>Xue</t>
  </si>
  <si>
    <t>Monthly average satellite-estimated dataset of Lake Taihu's dissolved carbon dioxide concentration from 2002 to 2018</t>
  </si>
  <si>
    <t>Qi</t>
  </si>
  <si>
    <t>Stormwater detention pond water temperature data collection and interpretation</t>
  </si>
  <si>
    <t>Herb</t>
  </si>
  <si>
    <t>Hydrothermal simulation of a stormwater detention pond or infiltration basin</t>
  </si>
  <si>
    <t>Dynamics of the population and biotic potentials of Aphyosemion gardneri in a Nigerian rainforest pond</t>
  </si>
  <si>
    <t>Ekwu</t>
  </si>
  <si>
    <t>Dynamic behavior of oxidation ponds</t>
  </si>
  <si>
    <t>Marais</t>
  </si>
  <si>
    <t>MINUHET (Minnesota Urban Heat Export Tool): a software tool for the analysis of stream thermal loading by urban stornwater runoff</t>
  </si>
  <si>
    <t>Entrainment in diffusive thermohaline systems: application to salt gradient solar ponds</t>
  </si>
  <si>
    <t>Atkinson</t>
  </si>
  <si>
    <t>Field investigation of cooling tower and cooling pond plumes</t>
  </si>
  <si>
    <t>West</t>
  </si>
  <si>
    <t>A software tool for the analysis of stream thermal loading by urban stormwater runoff</t>
  </si>
  <si>
    <t>Hydrology of thermokarst ponds near Council, Alaska</t>
  </si>
  <si>
    <t>Fraver</t>
  </si>
  <si>
    <t>Analytical modeling of thermal discharges. A review of the state of the art</t>
  </si>
  <si>
    <t>Benedict</t>
  </si>
  <si>
    <t>Simulation of agricultural drainage water concentration for the recovery of salts</t>
  </si>
  <si>
    <t>Kim</t>
  </si>
  <si>
    <t>Seasonally-managed wetlands footprint delineation using Landsat ETM+ Satellite Imagery</t>
  </si>
  <si>
    <t>Epshtein</t>
  </si>
  <si>
    <t>Suppression of ice fog from power plant cooling ponds</t>
  </si>
  <si>
    <t>Mcfadden</t>
  </si>
  <si>
    <t>Prediction of surface temperature in lakes with different morphology using air temperature</t>
  </si>
  <si>
    <t>Toffolon</t>
  </si>
  <si>
    <t>"Equation 2 suggests that the rate of change of lake surface temperature is inversely proportional to the mean depth of the volume affected by the heat exchange."</t>
  </si>
  <si>
    <t>A multi-lake study of seasonal variation in lake surface evaporation using MODIS satellite-derived surface temperature</t>
  </si>
  <si>
    <t>Phillips</t>
  </si>
  <si>
    <t>The impact of land cover change on surface water temperature of small lakes in Eastern Ontario from 1985 to 2020</t>
  </si>
  <si>
    <t>Senyshen</t>
  </si>
  <si>
    <t>Diel surface temperature range scales with lake size</t>
  </si>
  <si>
    <t>Dynamic response of surface water temperature in Urban Lakes under different climate scenarios - a case study in dianchi lake, China</t>
  </si>
  <si>
    <t>Duan</t>
  </si>
  <si>
    <t>Trends and abrupt changes in 104 years of ice cover and water temperature in a dimictic lake in response to air temperature, wind speed, and water clarity drivers</t>
  </si>
  <si>
    <t>Magee</t>
  </si>
  <si>
    <t>Anthropogenic impact of lake surface water temperature of lakes: a case study of eleven lakes in the yunnan-guizhou plateay</t>
  </si>
  <si>
    <t>Anthropogenic impact of lake surface water temperature of lakes: A case study of eleven lakes on the yunnan-guizhou plateau - ScienceDirect</t>
  </si>
  <si>
    <t>"Yang attributes the variations in LSWT to natural factors such as near-surface air temperature (NSAT), surface pressure (SP), solar radiation (SSR), total cloud cover (TCC), wind speed (WS), and depth (SD), quantifying their contributions to LSWT changes (Yang et al., 2020a). "</t>
  </si>
  <si>
    <t>The pace of shifting seasons in lakes</t>
  </si>
  <si>
    <t>The impact of climate warming on lake surface heat exchange and ice phenology of different types of lakes on the Tibetan Plateay</t>
  </si>
  <si>
    <t>Lang</t>
  </si>
  <si>
    <t>Sensitivity of lake thermal and mixing dynamics to climate change</t>
  </si>
  <si>
    <t>Butcher</t>
  </si>
  <si>
    <t>Spatial impact of urban expansion on lake surface water temperature based on the perspective of watershed scale</t>
  </si>
  <si>
    <t>Tang</t>
  </si>
  <si>
    <t>Shifted dynamics of plankton communities in a restored lake: exploring the effects of climate change on phenology through four decades</t>
  </si>
  <si>
    <t>Moe</t>
  </si>
  <si>
    <t>Norway</t>
  </si>
  <si>
    <r>
      <t>Moe, S. J., Hobæk, A., Persson, J., Skjelbred, B., &amp; Løvik, J. E. (2022). Shifted dynamics of plankton communities in a restored lake: exploring the effects of climate change on phenology through four decades. </t>
    </r>
    <r>
      <rPr>
        <i/>
        <sz val="10"/>
        <color rgb="FF222222"/>
        <rFont val="Arial"/>
        <family val="2"/>
        <charset val="1"/>
      </rPr>
      <t>Climate Research</t>
    </r>
    <r>
      <rPr>
        <sz val="10"/>
        <color rgb="FF222222"/>
        <rFont val="Arial"/>
        <family val="2"/>
        <charset val="1"/>
      </rPr>
      <t>, </t>
    </r>
    <r>
      <rPr>
        <i/>
        <sz val="10"/>
        <color rgb="FF222222"/>
        <rFont val="Arial"/>
        <family val="2"/>
        <charset val="1"/>
      </rPr>
      <t>86</t>
    </r>
    <r>
      <rPr>
        <sz val="10"/>
        <color rgb="FF222222"/>
        <rFont val="Arial"/>
        <family val="2"/>
        <charset val="1"/>
      </rPr>
      <t>, 125-143.</t>
    </r>
  </si>
  <si>
    <t>Moe et al., 2022</t>
  </si>
  <si>
    <t>reports citation of 0.4 C/decade warming rate in Norwegian lake (from Hobæk et 
al. 2012)</t>
  </si>
  <si>
    <t>" Climatic changes have been observed since the 1970s: surface water temperature has increased by almost 0.4°C decade−1 during the last 40 yr, the duration of stratification has increased and ice-free years have become more frequent (Hobæk et al. 2012)."</t>
  </si>
  <si>
    <t>*Note: disqualified publications with temperature rate of change if the driving force was warm runoff due to impervious surfaces (e.g. urban areas)</t>
  </si>
  <si>
    <t>Herb, W. R., Weiss, M. P., &amp; Stefan, H. G. (2011). Stormwater detention pond water temperature data collection and interpretation.</t>
  </si>
  <si>
    <r>
      <t>Herb, W. R., Weiss, M., Mohseni, O., &amp; Stefan, H. G. (2006). Hydrothermal simulation of a stormwater detention pond or infiltration basin. </t>
    </r>
    <r>
      <rPr>
        <i/>
        <sz val="10"/>
        <color rgb="FF222222"/>
        <rFont val="Arial"/>
        <family val="2"/>
        <charset val="1"/>
      </rPr>
      <t>St. Anthony Falls Laboratory Project Report No</t>
    </r>
    <r>
      <rPr>
        <sz val="10"/>
        <color rgb="FF222222"/>
        <rFont val="Arial"/>
        <family val="2"/>
        <charset val="1"/>
      </rPr>
      <t>, </t>
    </r>
    <r>
      <rPr>
        <i/>
        <sz val="10"/>
        <color rgb="FF222222"/>
        <rFont val="Arial"/>
        <family val="2"/>
        <charset val="1"/>
      </rPr>
      <t>479</t>
    </r>
    <r>
      <rPr>
        <sz val="10"/>
        <color rgb="FF222222"/>
        <rFont val="Arial"/>
        <family val="2"/>
        <charset val="1"/>
      </rPr>
      <t>.</t>
    </r>
  </si>
  <si>
    <r>
      <t>Ekwu, A. O., King, R. P., &amp; Akpan, B. E. (2023). Dynamics of the population and biotic potentials of Aphyosemion gardneri (Boulenger, 1911)(Cyprinodontiformes: Aplocheilidae) in a Nigerian rainforest pond. </t>
    </r>
    <r>
      <rPr>
        <i/>
        <sz val="10"/>
        <color rgb="FF222222"/>
        <rFont val="Arial"/>
        <family val="2"/>
        <charset val="1"/>
      </rPr>
      <t>World Journal of Applied Science &amp; Technology</t>
    </r>
    <r>
      <rPr>
        <sz val="10"/>
        <color rgb="FF222222"/>
        <rFont val="Arial"/>
        <family val="2"/>
        <charset val="1"/>
      </rPr>
      <t>, </t>
    </r>
    <r>
      <rPr>
        <i/>
        <sz val="10"/>
        <color rgb="FF222222"/>
        <rFont val="Arial"/>
        <family val="2"/>
        <charset val="1"/>
      </rPr>
      <t>15</t>
    </r>
    <r>
      <rPr>
        <sz val="10"/>
        <color rgb="FF222222"/>
        <rFont val="Arial"/>
        <family val="2"/>
        <charset val="1"/>
      </rPr>
      <t>(2), 370-378.</t>
    </r>
  </si>
  <si>
    <r>
      <t>vR Marais, G. (1970). Dynamic behavior of oxidation ponds. In </t>
    </r>
    <r>
      <rPr>
        <i/>
        <sz val="10"/>
        <color rgb="FF222222"/>
        <rFont val="Arial"/>
        <family val="2"/>
        <charset val="1"/>
      </rPr>
      <t>2nd International Symposium for waste treatment lagoons</t>
    </r>
    <r>
      <rPr>
        <sz val="10"/>
        <color rgb="FF222222"/>
        <rFont val="Arial"/>
        <family val="2"/>
        <charset val="1"/>
      </rPr>
      <t> (p. 15). International Symposium for Waste Treatment Lagoons, 2d, Kansas City, Mo..</t>
    </r>
  </si>
  <si>
    <t>Herb, W. R., Janke, B., Mohseni, O., &amp; Stefan, H. G. (2009). MINUHET (MINnesota Urban Heat Export Tool): A software tool for the analysis of stream thermal loading by urban stormwater runoff.</t>
  </si>
  <si>
    <t>Atkinson, J. F., Adams, E. E., Melville, W. K., &amp; Harleman, D. R. (1984). Entrainment in diffusive thermohaline systems: application to salt gradient solar ponds.</t>
  </si>
  <si>
    <r>
      <t>West, R. E. (1978). </t>
    </r>
    <r>
      <rPr>
        <i/>
        <sz val="10"/>
        <color rgb="FF222222"/>
        <rFont val="Arial"/>
        <family val="2"/>
        <charset val="1"/>
      </rPr>
      <t>Field investigation of cooling tower and cooling pond plumes. Final report</t>
    </r>
    <r>
      <rPr>
        <sz val="10"/>
        <color rgb="FF222222"/>
        <rFont val="Arial"/>
        <family val="2"/>
        <charset val="1"/>
      </rPr>
      <t> (No. PB-282993). Colorado Univ., Boulder (USA). Dept. of Chemical Engineering.</t>
    </r>
  </si>
  <si>
    <t>Herb, W., Janke, B., Mohseni, O., &amp; Stefan, H. (2009). A software tool for the analysis of stream thermal loading by urban stormwater runoff.</t>
  </si>
  <si>
    <r>
      <t>Fraver, M. R. (2003). </t>
    </r>
    <r>
      <rPr>
        <i/>
        <sz val="10"/>
        <color rgb="FF222222"/>
        <rFont val="Arial"/>
        <family val="2"/>
        <charset val="1"/>
      </rPr>
      <t>Hydrology of thermokarst ponds near Council, Alaska</t>
    </r>
    <r>
      <rPr>
        <sz val="10"/>
        <color rgb="FF222222"/>
        <rFont val="Arial"/>
        <family val="2"/>
        <charset val="1"/>
      </rPr>
      <t> (Doctoral dissertation, University of Alaska, Fairbanks).</t>
    </r>
  </si>
  <si>
    <t>Benedict, B. A., Anderson, J. L., &amp; Yandell Jr, E. L. (1974). Analytical modeling of thermal discharges. A review of the state of the art.</t>
  </si>
  <si>
    <r>
      <t>Kim, D. H. (2006). </t>
    </r>
    <r>
      <rPr>
        <i/>
        <sz val="10"/>
        <color rgb="FF222222"/>
        <rFont val="Arial"/>
        <family val="2"/>
        <charset val="1"/>
      </rPr>
      <t>Simulation of agricultural drainage water concentration for the recovery of salts</t>
    </r>
    <r>
      <rPr>
        <sz val="10"/>
        <color rgb="FF222222"/>
        <rFont val="Arial"/>
        <family val="2"/>
        <charset val="1"/>
      </rPr>
      <t>. University of California, Davis.</t>
    </r>
  </si>
  <si>
    <r>
      <t>Quinn, N. W., &amp; Epshtein, O. (2014). Seasonally-managed wetland footprint delineation using Landsat ETM+ satellite imagery. </t>
    </r>
    <r>
      <rPr>
        <i/>
        <sz val="10"/>
        <color rgb="FF222222"/>
        <rFont val="Arial"/>
        <family val="2"/>
        <charset val="1"/>
      </rPr>
      <t>Environmental modelling &amp; software</t>
    </r>
    <r>
      <rPr>
        <sz val="10"/>
        <color rgb="FF222222"/>
        <rFont val="Arial"/>
        <family val="2"/>
        <charset val="1"/>
      </rPr>
      <t>, </t>
    </r>
    <r>
      <rPr>
        <i/>
        <sz val="10"/>
        <color rgb="FF222222"/>
        <rFont val="Arial"/>
        <family val="2"/>
        <charset val="1"/>
      </rPr>
      <t>54</t>
    </r>
    <r>
      <rPr>
        <sz val="10"/>
        <color rgb="FF222222"/>
        <rFont val="Arial"/>
        <family val="2"/>
        <charset val="1"/>
      </rPr>
      <t>, 9-23.</t>
    </r>
  </si>
  <si>
    <r>
      <t>Mcfadden, T. T. (1974). </t>
    </r>
    <r>
      <rPr>
        <i/>
        <sz val="10"/>
        <color rgb="FF222222"/>
        <rFont val="Arial"/>
        <family val="2"/>
        <charset val="1"/>
      </rPr>
      <t>SUPPRESSION OF ICE FOG FROM POWER PLANT COOLING PONDS</t>
    </r>
    <r>
      <rPr>
        <sz val="10"/>
        <color rgb="FF222222"/>
        <rFont val="Arial"/>
        <family val="2"/>
        <charset val="1"/>
      </rPr>
      <t>. University of Alaska Fairbanks.</t>
    </r>
  </si>
  <si>
    <t>Initials</t>
  </si>
  <si>
    <t>Includes citations on expected degree increase of water temp per 1C increase in air temp</t>
  </si>
  <si>
    <r>
      <t>Stajkowski, S., Laleva, A., Farghaly, H., Bonakdari, H., &amp; Gharabaghi, B. (2021). Modelling dry-weather temperature profiles in urban stormwater management ponds. </t>
    </r>
    <r>
      <rPr>
        <i/>
        <sz val="10"/>
        <color rgb="FF222222"/>
        <rFont val="Arial"/>
        <family val="2"/>
        <charset val="1"/>
      </rPr>
      <t>Journal of Hydrology</t>
    </r>
    <r>
      <rPr>
        <sz val="10"/>
        <color rgb="FF222222"/>
        <rFont val="Arial"/>
        <family val="2"/>
        <charset val="1"/>
      </rPr>
      <t>, </t>
    </r>
    <r>
      <rPr>
        <i/>
        <sz val="10"/>
        <color rgb="FF222222"/>
        <rFont val="Arial"/>
        <family val="2"/>
        <charset val="1"/>
      </rPr>
      <t>598</t>
    </r>
    <r>
      <rPr>
        <sz val="10"/>
        <color rgb="FF222222"/>
        <rFont val="Arial"/>
        <family val="2"/>
        <charset val="1"/>
      </rPr>
      <t>, 126206.</t>
    </r>
  </si>
  <si>
    <r>
      <t>Stajkowski, S., Hotson, E., Zorica, M., Farghaly, H., Bonakdari, H., McBean, E., &amp; Gharabaghi, B. (2023). Modeling stormwater management pond thermal impacts during storm events. </t>
    </r>
    <r>
      <rPr>
        <i/>
        <sz val="10"/>
        <color rgb="FF222222"/>
        <rFont val="Arial"/>
        <family val="2"/>
        <charset val="1"/>
      </rPr>
      <t>Journal of Hydrology</t>
    </r>
    <r>
      <rPr>
        <sz val="10"/>
        <color rgb="FF222222"/>
        <rFont val="Arial"/>
        <family val="2"/>
        <charset val="1"/>
      </rPr>
      <t>, </t>
    </r>
    <r>
      <rPr>
        <i/>
        <sz val="10"/>
        <color rgb="FF222222"/>
        <rFont val="Arial"/>
        <family val="2"/>
        <charset val="1"/>
      </rPr>
      <t>620</t>
    </r>
    <r>
      <rPr>
        <sz val="10"/>
        <color rgb="FF222222"/>
        <rFont val="Arial"/>
        <family val="2"/>
        <charset val="1"/>
      </rPr>
      <t>, 129413.</t>
    </r>
  </si>
  <si>
    <r>
      <t>Smith, S. M., Fox, S. E., &amp; Lee, K. D. (2016). Changes in air temperature and precipitation chemistry linked to water temperature and acidity trends in freshwater lakes of Cape Cod National Seashore (Massachusetts, USA). </t>
    </r>
    <r>
      <rPr>
        <i/>
        <sz val="10"/>
        <color rgb="FF222222"/>
        <rFont val="Arial"/>
        <family val="2"/>
        <charset val="1"/>
      </rPr>
      <t>Water, Air, &amp; Soil Pollution</t>
    </r>
    <r>
      <rPr>
        <sz val="10"/>
        <color rgb="FF222222"/>
        <rFont val="Arial"/>
        <family val="2"/>
        <charset val="1"/>
      </rPr>
      <t>, </t>
    </r>
    <r>
      <rPr>
        <i/>
        <sz val="10"/>
        <color rgb="FF222222"/>
        <rFont val="Arial"/>
        <family val="2"/>
        <charset val="1"/>
      </rPr>
      <t>227</t>
    </r>
    <r>
      <rPr>
        <sz val="10"/>
        <color rgb="FF222222"/>
        <rFont val="Arial"/>
        <family val="2"/>
        <charset val="1"/>
      </rPr>
      <t>(7), 237.</t>
    </r>
  </si>
  <si>
    <t>Ecosystem engineering by beavers affect mayfly life histories</t>
  </si>
  <si>
    <t>Fuller</t>
  </si>
  <si>
    <r>
      <t>Fuller, M. R., &amp; Peckarsky, B. L. (2011). Ecosystem engineering by beavers affects mayfly life histories. </t>
    </r>
    <r>
      <rPr>
        <i/>
        <sz val="10"/>
        <color rgb="FF222222"/>
        <rFont val="Arial"/>
        <family val="2"/>
        <charset val="1"/>
      </rPr>
      <t>Freshwater Biology</t>
    </r>
    <r>
      <rPr>
        <sz val="10"/>
        <color rgb="FF222222"/>
        <rFont val="Arial"/>
        <family val="2"/>
        <charset val="1"/>
      </rPr>
      <t>, </t>
    </r>
    <r>
      <rPr>
        <i/>
        <sz val="10"/>
        <color rgb="FF222222"/>
        <rFont val="Arial"/>
        <family val="2"/>
        <charset val="1"/>
      </rPr>
      <t>56</t>
    </r>
    <r>
      <rPr>
        <sz val="10"/>
        <color rgb="FF222222"/>
        <rFont val="Arial"/>
        <family val="2"/>
        <charset val="1"/>
      </rPr>
      <t>(5), 969-979.</t>
    </r>
  </si>
  <si>
    <t>Performance of municipal waste stabilization ponds in the Canadian Arctic</t>
  </si>
  <si>
    <t>Ragush</t>
  </si>
  <si>
    <r>
      <t>Ragush, C. M., Schmidt, J. J., Krkosek, W. H., Gagnon, G. A., Truelstrup-Hansen, L., &amp; Jamieson, R. C. (2015). Performance of municipal waste stabilization ponds in the Canadian Arctic. </t>
    </r>
    <r>
      <rPr>
        <i/>
        <sz val="10"/>
        <color rgb="FF222222"/>
        <rFont val="Arial"/>
        <family val="2"/>
        <charset val="1"/>
      </rPr>
      <t>Ecological Engineering</t>
    </r>
    <r>
      <rPr>
        <sz val="10"/>
        <color rgb="FF222222"/>
        <rFont val="Arial"/>
        <family val="2"/>
        <charset val="1"/>
      </rPr>
      <t>, </t>
    </r>
    <r>
      <rPr>
        <i/>
        <sz val="10"/>
        <color rgb="FF222222"/>
        <rFont val="Arial"/>
        <family val="2"/>
        <charset val="1"/>
      </rPr>
      <t>83</t>
    </r>
    <r>
      <rPr>
        <sz val="10"/>
        <color rgb="FF222222"/>
        <rFont val="Arial"/>
        <family val="2"/>
        <charset val="1"/>
      </rPr>
      <t>, 413-421.</t>
    </r>
  </si>
  <si>
    <t>(Google Scholar entry is "Stephen M. Smith, Sophia E. Fox &amp;")</t>
  </si>
  <si>
    <t>Machine learning modelling of the thermal impacts of urban stormwater ponds on receiving streams</t>
  </si>
  <si>
    <r>
      <t>Stajkowski, S. (2023). </t>
    </r>
    <r>
      <rPr>
        <i/>
        <sz val="10"/>
        <color rgb="FF222222"/>
        <rFont val="Arial"/>
        <family val="2"/>
        <charset val="1"/>
      </rPr>
      <t>Machine Learning Modelling of the Thermal Impacts of Urban Stormwater Ponds on Receiving Streams</t>
    </r>
    <r>
      <rPr>
        <sz val="10"/>
        <color rgb="FF222222"/>
        <rFont val="Arial"/>
        <family val="2"/>
        <charset val="1"/>
      </rPr>
      <t> (Doctoral dissertation, University of Guelph).</t>
    </r>
  </si>
  <si>
    <t>Potential importance of benthic cysts of Gonyaulax Tamarensis and F. Excavata in initiating toxic dinoflagellate blooms</t>
  </si>
  <si>
    <t>Anderson</t>
  </si>
  <si>
    <r>
      <t>Anderson, D. M., &amp; Wall, D. (1978). Potential importance of benthic cysts of Gonyaulax tamarensis and G. excavata in initiating toxic dinoflagellate blooms 1, 2, 3. </t>
    </r>
    <r>
      <rPr>
        <i/>
        <sz val="10"/>
        <color rgb="FF222222"/>
        <rFont val="Arial"/>
        <family val="2"/>
        <charset val="1"/>
      </rPr>
      <t>Journal of phycology</t>
    </r>
    <r>
      <rPr>
        <sz val="10"/>
        <color rgb="FF222222"/>
        <rFont val="Arial"/>
        <family val="2"/>
        <charset val="1"/>
      </rPr>
      <t>, </t>
    </r>
    <r>
      <rPr>
        <i/>
        <sz val="10"/>
        <color rgb="FF222222"/>
        <rFont val="Arial"/>
        <family val="2"/>
        <charset val="1"/>
      </rPr>
      <t>14</t>
    </r>
    <r>
      <rPr>
        <sz val="10"/>
        <color rgb="FF222222"/>
        <rFont val="Arial"/>
        <family val="2"/>
        <charset val="1"/>
      </rPr>
      <t>(2), 224-234.</t>
    </r>
  </si>
  <si>
    <t>An examination of the limnology and freshwater diatom autoecology of Bathurst Island, Northwest Territories, Canadian High Arctic</t>
  </si>
  <si>
    <t>Lim</t>
  </si>
  <si>
    <r>
      <t>Lim, D. S. (1999). </t>
    </r>
    <r>
      <rPr>
        <i/>
        <sz val="10"/>
        <color rgb="FF222222"/>
        <rFont val="Arial"/>
        <family val="2"/>
        <charset val="1"/>
      </rPr>
      <t>An examination of the limnology and freshwater diatom autoecology of Bathurst Island, Northwest Territories, Canadian High Arctic</t>
    </r>
    <r>
      <rPr>
        <sz val="10"/>
        <color rgb="FF222222"/>
        <rFont val="Arial"/>
        <family val="2"/>
        <charset val="1"/>
      </rPr>
      <t> (Doctoral dissertation).</t>
    </r>
  </si>
  <si>
    <t>Shakir Ali, S. A. (2013). Estimation of surface water temperature in small recharge pond from air temperature.</t>
  </si>
  <si>
    <t>citation only</t>
  </si>
  <si>
    <t>Oxygen dynamics and carbon remobal in municipal waste stabilization ponds in Arctic regions</t>
  </si>
  <si>
    <r>
      <t>Ragush, C. (2016). </t>
    </r>
    <r>
      <rPr>
        <i/>
        <sz val="10"/>
        <color rgb="FF222222"/>
        <rFont val="Arial"/>
        <family val="2"/>
        <charset val="1"/>
      </rPr>
      <t>Oxygen Dynamics and Carbon Removal in Municipal Waste Stabilization Ponds in Arctic Regions</t>
    </r>
    <r>
      <rPr>
        <sz val="10"/>
        <color rgb="FF222222"/>
        <rFont val="Arial"/>
        <family val="2"/>
        <charset val="1"/>
      </rPr>
      <t> (Doctoral dissertation, Dalhousie University).</t>
    </r>
  </si>
  <si>
    <t>Development of New Emission Reduction Fund (ERF) methods for the pork industry</t>
  </si>
  <si>
    <t>Watson</t>
  </si>
  <si>
    <t>Watson, K., Wiedemann, S., &amp; McGahan, E. (2018). Development of New Emission Reduction Fund (ERF) Methods for the Pork Industry.</t>
  </si>
  <si>
    <t>*cells highlighted blue are repeats from above search</t>
  </si>
  <si>
    <t>Current use pesticide and legacy organochlorine pesticide dynamics at the ocean-sea ice-atmosphere interface in resolute passage, Canadian Arctic, during winter-summer transition</t>
  </si>
  <si>
    <t>Pucko</t>
  </si>
  <si>
    <r>
      <t>Pućko, M., Stern, G. A., Burt, A. E., Jantunen, L. M., Bidleman, T. F., Macdonald, R. W., ... &amp; Rysgaard, S. (2017). Current use pesticide and legacy organochlorine pesticide dynamics at the ocean-sea ice-atmosphere interface in resolute passage, Canadian Arctic, during winter-summer transition. </t>
    </r>
    <r>
      <rPr>
        <i/>
        <sz val="10"/>
        <color rgb="FF222222"/>
        <rFont val="Arial"/>
        <family val="2"/>
        <charset val="1"/>
      </rPr>
      <t>Science of the Total Environment</t>
    </r>
    <r>
      <rPr>
        <sz val="10"/>
        <color rgb="FF222222"/>
        <rFont val="Arial"/>
        <family val="2"/>
        <charset val="1"/>
      </rPr>
      <t>, </t>
    </r>
    <r>
      <rPr>
        <i/>
        <sz val="10"/>
        <color rgb="FF222222"/>
        <rFont val="Arial"/>
        <family val="2"/>
        <charset val="1"/>
      </rPr>
      <t>580</t>
    </r>
    <r>
      <rPr>
        <sz val="10"/>
        <color rgb="FF222222"/>
        <rFont val="Arial"/>
        <family val="2"/>
        <charset val="1"/>
      </rPr>
      <t>, 1460-1469.</t>
    </r>
  </si>
  <si>
    <t>Experimental studies on reduction of evaporation form plain reservoirs in drought areas by benzene board covering technology</t>
  </si>
  <si>
    <t>Jiang</t>
  </si>
  <si>
    <r>
      <t>Jiang, H., Tang, K., &amp; He, X. (2015). Experimental studies on reduction of evaporation from plain reservoirs in drought areas by benzene board covering technology. </t>
    </r>
    <r>
      <rPr>
        <i/>
        <sz val="10"/>
        <color rgb="FF222222"/>
        <rFont val="Arial"/>
        <family val="2"/>
        <charset val="1"/>
      </rPr>
      <t>Journal of Coastal Research</t>
    </r>
    <r>
      <rPr>
        <sz val="10"/>
        <color rgb="FF222222"/>
        <rFont val="Arial"/>
        <family val="2"/>
        <charset val="1"/>
      </rPr>
      <t>, (73), 177-182.</t>
    </r>
  </si>
  <si>
    <t>Multizone aquatic ecological exposures to landfill contaminants from a groundwater plume discharging to a pond</t>
  </si>
  <si>
    <t>Hua</t>
  </si>
  <si>
    <r>
      <t>Hua, T., Propp, V. R., Power, C., Brown, S. J., Collins, P., Smith, J. E., &amp; Roy, J. W. (2023). Multizone aquatic ecological exposures to landfill contaminants from a groundwater plume discharging to a pond. </t>
    </r>
    <r>
      <rPr>
        <i/>
        <sz val="10"/>
        <color rgb="FF222222"/>
        <rFont val="Arial"/>
        <family val="2"/>
        <charset val="1"/>
      </rPr>
      <t>Environmental Toxicology and Chemistry</t>
    </r>
    <r>
      <rPr>
        <sz val="10"/>
        <color rgb="FF222222"/>
        <rFont val="Arial"/>
        <family val="2"/>
        <charset val="1"/>
      </rPr>
      <t>, </t>
    </r>
    <r>
      <rPr>
        <i/>
        <sz val="10"/>
        <color rgb="FF222222"/>
        <rFont val="Arial"/>
        <family val="2"/>
        <charset val="1"/>
      </rPr>
      <t>42</t>
    </r>
    <r>
      <rPr>
        <sz val="10"/>
        <color rgb="FF222222"/>
        <rFont val="Arial"/>
        <family val="2"/>
        <charset val="1"/>
      </rPr>
      <t>(8), 1667-1684.</t>
    </r>
  </si>
  <si>
    <t>Breeding performance and nursery practices of Labeo Bata (Hamilton-Buchanan, 1822)</t>
  </si>
  <si>
    <t>Hossain</t>
  </si>
  <si>
    <r>
      <t>Hossain, Q. Z., Hossain, M. A., &amp; Parween, S. (2007). Breeding performance and nursery practices of Labeo bata (Hamilton-Buchanan, 1822). </t>
    </r>
    <r>
      <rPr>
        <i/>
        <sz val="10"/>
        <color rgb="FF222222"/>
        <rFont val="Arial"/>
        <family val="2"/>
        <charset val="1"/>
      </rPr>
      <t>Scientific world</t>
    </r>
    <r>
      <rPr>
        <sz val="10"/>
        <color rgb="FF222222"/>
        <rFont val="Arial"/>
        <family val="2"/>
        <charset val="1"/>
      </rPr>
      <t>, </t>
    </r>
    <r>
      <rPr>
        <i/>
        <sz val="10"/>
        <color rgb="FF222222"/>
        <rFont val="Arial"/>
        <family val="2"/>
        <charset val="1"/>
      </rPr>
      <t>5</t>
    </r>
    <r>
      <rPr>
        <sz val="10"/>
        <color rgb="FF222222"/>
        <rFont val="Arial"/>
        <family val="2"/>
        <charset val="1"/>
      </rPr>
      <t>(5), 40-45.</t>
    </r>
  </si>
  <si>
    <t>A novel adaptation mechanism underpinning algal colonization of a nuclear fuel storage pond</t>
  </si>
  <si>
    <t>MeGraw</t>
  </si>
  <si>
    <r>
      <t>MeGraw, V. E., Brown, A. R., Boothman, C., Goodacre, R., Morris, K., Sigee, D., ... &amp; Lloyd, J. R. (2018). A novel adaptation mechanism underpinning algal colonization of a nuclear fuel storage pond. </t>
    </r>
    <r>
      <rPr>
        <i/>
        <sz val="10"/>
        <color rgb="FF222222"/>
        <rFont val="Arial"/>
        <family val="2"/>
        <charset val="1"/>
      </rPr>
      <t>MBio</t>
    </r>
    <r>
      <rPr>
        <sz val="10"/>
        <color rgb="FF222222"/>
        <rFont val="Arial"/>
        <family val="2"/>
        <charset val="1"/>
      </rPr>
      <t>, </t>
    </r>
    <r>
      <rPr>
        <i/>
        <sz val="10"/>
        <color rgb="FF222222"/>
        <rFont val="Arial"/>
        <family val="2"/>
        <charset val="1"/>
      </rPr>
      <t>9</t>
    </r>
    <r>
      <rPr>
        <sz val="10"/>
        <color rgb="FF222222"/>
        <rFont val="Arial"/>
        <family val="2"/>
        <charset val="1"/>
      </rPr>
      <t>(3), 10-1128.</t>
    </r>
  </si>
  <si>
    <t>On the incidence of the sporozoan Thelohania Prox Duorara Iversen and manning in commercially important prawns at Madras</t>
  </si>
  <si>
    <t>James</t>
  </si>
  <si>
    <r>
      <t>James, D. B. (1986). On the incidence of the sporozoan Thelohania Prox Duorara Iversen and manning in commercially important prawns at Madras. </t>
    </r>
    <r>
      <rPr>
        <i/>
        <sz val="10"/>
        <color rgb="FF222222"/>
        <rFont val="Arial"/>
        <family val="2"/>
        <charset val="1"/>
      </rPr>
      <t>Journal of the Marine Biological Association of India</t>
    </r>
    <r>
      <rPr>
        <sz val="10"/>
        <color rgb="FF222222"/>
        <rFont val="Arial"/>
        <family val="2"/>
        <charset val="1"/>
      </rPr>
      <t>, </t>
    </r>
    <r>
      <rPr>
        <i/>
        <sz val="10"/>
        <color rgb="FF222222"/>
        <rFont val="Arial"/>
        <family val="2"/>
        <charset val="1"/>
      </rPr>
      <t>28</t>
    </r>
    <r>
      <rPr>
        <sz val="10"/>
        <color rgb="FF222222"/>
        <rFont val="Arial"/>
        <family val="2"/>
        <charset val="1"/>
      </rPr>
      <t>(1&amp;2), 225-228.</t>
    </r>
  </si>
  <si>
    <t>Characterization of microbial communities, disinfection and removal of human pathogenic bacteria in Arctic wastewater stabilization ponds</t>
  </si>
  <si>
    <r>
      <t>Huang, Y. (2017). </t>
    </r>
    <r>
      <rPr>
        <i/>
        <sz val="10"/>
        <color rgb="FF222222"/>
        <rFont val="Arial"/>
        <family val="2"/>
        <charset val="1"/>
      </rPr>
      <t>Characterization of microbial communities, disinfection and removal of human pathogenic bacteria in Arctic wastewater stabilization ponds</t>
    </r>
    <r>
      <rPr>
        <sz val="10"/>
        <color rgb="FF222222"/>
        <rFont val="Arial"/>
        <family val="2"/>
        <charset val="1"/>
      </rPr>
      <t> (Doctoral dissertation, Dalhousie University).</t>
    </r>
  </si>
  <si>
    <t>Larval feeding ecology of Anopheles quadrimaculatas (Say) and Anipheles punctipennis (Say)(Diptera: Culicidaw) in southcentral Michigan ponds</t>
  </si>
  <si>
    <t>Wallace</t>
  </si>
  <si>
    <r>
      <t>Wallace, J. R. (1997). </t>
    </r>
    <r>
      <rPr>
        <i/>
        <sz val="10"/>
        <color rgb="FF222222"/>
        <rFont val="Arial"/>
        <family val="2"/>
        <charset val="1"/>
      </rPr>
      <t>Larval feeding ecology of Anopheles quadrimaculatus (Say) and Anopheles punctipennis (Say)(Diptera: Culicidae) in southcentral Michigan ponds</t>
    </r>
    <r>
      <rPr>
        <sz val="10"/>
        <color rgb="FF222222"/>
        <rFont val="Arial"/>
        <family val="2"/>
        <charset val="1"/>
      </rPr>
      <t>. Michigan State University.</t>
    </r>
  </si>
  <si>
    <t>An introduction to solute transport in heterogeneous geologic media</t>
  </si>
  <si>
    <t>Yeh</t>
  </si>
  <si>
    <r>
      <t>Yeh, T. C. J., Dong, Y., Ye, S., &amp; Ye, S. (2023). </t>
    </r>
    <r>
      <rPr>
        <i/>
        <sz val="10"/>
        <color rgb="FF222222"/>
        <rFont val="Arial"/>
        <family val="2"/>
        <charset val="1"/>
      </rPr>
      <t>An introduction to solute transport in heterogeneous geologic media</t>
    </r>
    <r>
      <rPr>
        <sz val="10"/>
        <color rgb="FF222222"/>
        <rFont val="Arial"/>
        <family val="2"/>
        <charset val="1"/>
      </rPr>
      <t>. Cambridge University Press.</t>
    </r>
  </si>
  <si>
    <t>Behavioral ontogeny in larvae and early juveniles of the giant trevally (Caranx ignobilis)(Pisces: Carangidae)</t>
  </si>
  <si>
    <t>Leis</t>
  </si>
  <si>
    <r>
      <t>Leis, J. M., Hay, A. C., Clark, D. L., Chen, I. S., &amp; Shao, K. T. (2006). Behavioral ontogeny in larvae and early juveniles of the giant trevally (Caranx ignobilis)(Pisces: Carangidae). </t>
    </r>
    <r>
      <rPr>
        <i/>
        <sz val="10"/>
        <color rgb="FF222222"/>
        <rFont val="Arial"/>
        <family val="2"/>
        <charset val="1"/>
      </rPr>
      <t>Fishery Bulletin</t>
    </r>
    <r>
      <rPr>
        <sz val="10"/>
        <color rgb="FF222222"/>
        <rFont val="Arial"/>
        <family val="2"/>
        <charset val="1"/>
      </rPr>
      <t>, </t>
    </r>
    <r>
      <rPr>
        <i/>
        <sz val="10"/>
        <color rgb="FF222222"/>
        <rFont val="Arial"/>
        <family val="2"/>
        <charset val="1"/>
      </rPr>
      <t>104</t>
    </r>
    <r>
      <rPr>
        <sz val="10"/>
        <color rgb="FF222222"/>
        <rFont val="Arial"/>
        <family val="2"/>
        <charset val="1"/>
      </rPr>
      <t>(3), 401-415.</t>
    </r>
  </si>
  <si>
    <t>Small-scale Arctic charr production in man-made prairie ponds</t>
  </si>
  <si>
    <t>Welby</t>
  </si>
  <si>
    <t>Welby, M. (1991). Small-scale Arctic charr production in man-made prairie ponds.</t>
  </si>
  <si>
    <t>Highlighted articles - Not relevant</t>
  </si>
  <si>
    <t>"pond" "surface water temperature" "warming" in Google Scholar</t>
  </si>
  <si>
    <t>India</t>
  </si>
  <si>
    <t> 750 15′ to 75° 38′ E</t>
  </si>
  <si>
    <t>two parametric statistical models—simple linear regression (SLR) and four-parameter nonlinear logistic regression (NLR) models</t>
  </si>
  <si>
    <t>Daily</t>
  </si>
  <si>
    <t xml:space="preserve">Shakir, A., Mishra, P. K., Adlul, I., &amp; Alam, N. M. (2016). Simulation of Water Temperature in a Small Pond Using Parametric Statistical Models: Implications of Climate Warming. Journal of Environmental Engineering, 142(3), 04015085. https://doi.org/10.1061/(ASCE)EE.1943-7870.0001050 </t>
  </si>
  <si>
    <t>Ali et al.,2015</t>
  </si>
  <si>
    <t>Journal of Environmental Engineering</t>
  </si>
  <si>
    <t>https://doi.org/10.1061/(ASCE)EE.1943-7870.0001050</t>
  </si>
  <si>
    <t>"pond surface water temperature" "cooling" in Google Scholar</t>
  </si>
  <si>
    <t>Already reported</t>
  </si>
  <si>
    <t>Stajkowski </t>
  </si>
  <si>
    <t>https://doi.org/10.1016/j.jhydrol.2021.126206</t>
  </si>
  <si>
    <t>machine learning method to predict thermal profiles in stormwater ponds</t>
  </si>
  <si>
    <t>https://doi.org/10.1016/j.jhydrol.2023.129413</t>
  </si>
  <si>
    <t>Performance Deterioration Mechanism Analysis of Natural Draft Cooling Towers Under Crosswind Conditions</t>
  </si>
  <si>
    <t>Sun</t>
  </si>
  <si>
    <t>https://doi.org/10.1115/POWER2011-55443</t>
  </si>
  <si>
    <t>Machine Learning Modelling of the Thermal Impacts of Urban Stormwater Ponds on Receiving Streams</t>
  </si>
  <si>
    <t>https://doi-org.ezproxy.waikato.ac.nz/10.1111/j.1365-2427.2010.02548.x</t>
  </si>
  <si>
    <t>Study of the hydrodynamic characteristics of a Mediterranean stabilization ponds system using a 3D hydrodynamic model</t>
  </si>
  <si>
    <t>Gratziou</t>
  </si>
  <si>
    <t>A Novel Adaptation Mechanism Underpinning Algal Colonization of a Nuclear Fuel Storage Pond</t>
  </si>
  <si>
    <t>https://doi.org/10.1128/mbio.02395-17</t>
  </si>
  <si>
    <t>"pond" "surface water temperature" "warming" in SCOPUS</t>
  </si>
  <si>
    <t>"pond surface water temperature" "cooling" in SCOPUS</t>
  </si>
  <si>
    <t>"lake surface water temperature" "rate of change" in Google</t>
  </si>
  <si>
    <r>
      <t>Layden, A., </t>
    </r>
    <r>
      <rPr>
        <u/>
        <sz val="12"/>
        <color rgb="FF025A88"/>
        <rFont val="Aptos Narrow"/>
        <family val="2"/>
        <scheme val="minor"/>
      </rPr>
      <t>Merchant, C.</t>
    </r>
    <r>
      <rPr>
        <sz val="12"/>
        <color rgb="FF333333"/>
        <rFont val="Aptos Narrow"/>
        <family val="2"/>
        <scheme val="minor"/>
      </rPr>
      <t>  and MacCallum, S. (2015) </t>
    </r>
    <r>
      <rPr>
        <i/>
        <sz val="12"/>
        <color rgb="FF333333"/>
        <rFont val="Aptos Narrow"/>
        <family val="2"/>
        <scheme val="minor"/>
      </rPr>
      <t>Global climatology of surface water temperatures of large lakes by remote sensing.</t>
    </r>
    <r>
      <rPr>
        <sz val="12"/>
        <color rgb="FF333333"/>
        <rFont val="Aptos Narrow"/>
        <family val="2"/>
        <scheme val="minor"/>
      </rPr>
      <t> International Journal of Climatology, 35 (15). pp. 4464-4479. ISSN 0899-8418</t>
    </r>
  </si>
  <si>
    <t>Layden et al, 2015</t>
  </si>
  <si>
    <t>International Journal of Climatology</t>
  </si>
  <si>
    <t>https://centaur.reading.ac.uk/49732/</t>
  </si>
  <si>
    <t>Global climatology of surface water temperatures of large lakes by remote sensing</t>
  </si>
  <si>
    <t>Layden</t>
  </si>
  <si>
    <t>#'lake surface water temperature' 'cooling'</t>
  </si>
  <si>
    <t># 735 google scholar results, 24 at SCOPUS</t>
  </si>
  <si>
    <t>colours mean overlap with others, oli will take red ones, I take green ones, yellow ones aren't estimating trends</t>
  </si>
  <si>
    <t>engine</t>
  </si>
  <si>
    <t>title</t>
  </si>
  <si>
    <t>cit_short</t>
  </si>
  <si>
    <t>cit_full</t>
  </si>
  <si>
    <t>Seasonal overturn and stratification changes drive deep-water warming in one of Earth’s largest lakes</t>
  </si>
  <si>
    <t>Anderson E.J.; Stow C.A.; Gronewold A.D.; Mason L.A.; McCormick M.J.; Qian S.S.; Ruberg S.A.; Beadle K.; Constant S.A.; Hawley N.</t>
  </si>
  <si>
    <t>Temperature surface of Guaíba Lake, RS, from time series of MODIS images; [Temperatura de superfície do Lago Guaíba/RS, a partir de série temporal de imagens MODIS]</t>
  </si>
  <si>
    <t>da Luz G.A.; Guasselli L.A.; Rocha D.</t>
  </si>
  <si>
    <t>Revista Brasileira de Recursos Hidricos</t>
  </si>
  <si>
    <t>https://www.scielo.br/j/rbrh/a/k9stnsghbvKTphrNLR7T6WC/?lang=en</t>
  </si>
  <si>
    <t>Evaluation of methods for estimating lake surface water temperature using Landsat 8.</t>
  </si>
  <si>
    <t>Dyba et al., 2022</t>
  </si>
  <si>
    <r>
      <t xml:space="preserve">Dyba, K., Ermida, S., Ptak, M., Piekarczyk, J., &amp; Sojka, M. (2022). Evaluation of methods for estimating lake surface water temperature using Landsat 8. </t>
    </r>
    <r>
      <rPr>
        <i/>
        <sz val="11"/>
        <color rgb="FFFF0000"/>
        <rFont val="Aptos Narrow"/>
        <family val="2"/>
      </rPr>
      <t>Remote Sensing</t>
    </r>
    <r>
      <rPr>
        <sz val="11"/>
        <color rgb="FFFF0000"/>
        <rFont val="Aptos Narrow"/>
        <family val="2"/>
      </rPr>
      <t xml:space="preserve">, </t>
    </r>
    <r>
      <rPr>
        <i/>
        <sz val="11"/>
        <color rgb="FFFF0000"/>
        <rFont val="Aptos Narrow"/>
        <family val="2"/>
      </rPr>
      <t>14</t>
    </r>
    <r>
      <rPr>
        <sz val="11"/>
        <color rgb="FFFF0000"/>
        <rFont val="Aptos Narrow"/>
        <family val="2"/>
      </rPr>
      <t>(15), 3839.</t>
    </r>
  </si>
  <si>
    <t>https://www.mdpi.com/2072-4292/14/15/3839</t>
  </si>
  <si>
    <t>Effects of natural surfactants on the spatial variability of surface water temperature under intermittent light winds on Lake Geneva</t>
  </si>
  <si>
    <t>Foroughan M.; Lemmin U.; Barry D.A.</t>
  </si>
  <si>
    <t>https://www.scopus.com/inward/record.uri?eid=2-s2.0-85134374757&amp;doi=10.4081%2fjlimnol.2022.2048&amp;partnerID=40&amp;md5=03966e874d7519fc68f178d3d31e5e27</t>
  </si>
  <si>
    <t>Optimizing lake surface water temperature simulations over large lakes in China with FLake model.</t>
  </si>
  <si>
    <t>Huang et al., 2021</t>
  </si>
  <si>
    <r>
      <t xml:space="preserve">Huang, L., Wang, X., Sang, Y., Tang, S., Jin, L., Yang, H., ... &amp; Zhang, Y. (2021). Optimizing lake surface water temperature simulations over large lakes in China with FLake model. </t>
    </r>
    <r>
      <rPr>
        <i/>
        <sz val="11"/>
        <color rgb="FFFF0000"/>
        <rFont val="Aptos Narrow"/>
        <family val="2"/>
      </rPr>
      <t>Earth and Space Science</t>
    </r>
    <r>
      <rPr>
        <sz val="11"/>
        <color rgb="FFFF0000"/>
        <rFont val="Aptos Narrow"/>
        <family val="2"/>
      </rPr>
      <t xml:space="preserve">, </t>
    </r>
    <r>
      <rPr>
        <i/>
        <sz val="11"/>
        <color rgb="FFFF0000"/>
        <rFont val="Aptos Narrow"/>
        <family val="2"/>
      </rPr>
      <t>8</t>
    </r>
    <r>
      <rPr>
        <sz val="11"/>
        <color rgb="FFFF0000"/>
        <rFont val="Aptos Narrow"/>
        <family val="2"/>
      </rPr>
      <t>(8), e2021EA001737.</t>
    </r>
  </si>
  <si>
    <t>https://agupubs.onlinelibrary.wiley.com/doi/full/10.1029/2021EA001737</t>
  </si>
  <si>
    <r>
      <t xml:space="preserve">Huang, L., Wang, X., Yan, Y., Jin, L., Yang, K., Chen, A., ... &amp; Piao, S. (2023). Attribution of lake surface water temperature change in large lakes across China over past four decades. </t>
    </r>
    <r>
      <rPr>
        <i/>
        <sz val="11"/>
        <color rgb="FFFF0000"/>
        <rFont val="Aptos Narrow"/>
        <family val="2"/>
      </rPr>
      <t>Journal of Geophysical Research: Atmospheres</t>
    </r>
    <r>
      <rPr>
        <sz val="11"/>
        <color rgb="FFFF0000"/>
        <rFont val="Aptos Narrow"/>
        <family val="2"/>
      </rPr>
      <t xml:space="preserve">, </t>
    </r>
    <r>
      <rPr>
        <i/>
        <sz val="11"/>
        <color rgb="FFFF0000"/>
        <rFont val="Aptos Narrow"/>
        <family val="2"/>
      </rPr>
      <t>128</t>
    </r>
    <r>
      <rPr>
        <sz val="11"/>
        <color rgb="FFFF0000"/>
        <rFont val="Aptos Narrow"/>
        <family val="2"/>
      </rPr>
      <t>(21), e2022JD038465.</t>
    </r>
  </si>
  <si>
    <t>Surface Water Temperature Heterogeneity at Subpixel Satellite Scales and Its Effect on the Surface Cooling Estimates of a Large Lake: Airborne Remote Sensing Results From Lake Geneva</t>
  </si>
  <si>
    <t>Irani Rahaghi A.; Lemmin U.; Barry D.A.</t>
  </si>
  <si>
    <t>https://www.scopus.com/inward/record.uri?eid=2-s2.0-85060647329&amp;doi=10.1029%2f2018JC014451&amp;partnerID=40&amp;md5=630c72a8b9aa4bc40cf870dabdcbe1c7</t>
  </si>
  <si>
    <t>Surface water temperature heterogeneity at subpixel satellite scales and its effect on the surface cooling estimates of a large lake: Airborne remote sensing results from Lake Geneva</t>
  </si>
  <si>
    <t>Irani Rahaghi et al., 2019</t>
  </si>
  <si>
    <r>
      <t xml:space="preserve">Irani Rahaghi, A., Lemmin, U., &amp; Barry, D. A. (2019). Surface water temperature heterogeneity at subpixel satellite scales and its effect on the surface cooling estimates of a large lake: Airborne remote sensing results from Lake Geneva. </t>
    </r>
    <r>
      <rPr>
        <i/>
        <sz val="11"/>
        <color rgb="FFFF0000"/>
        <rFont val="Aptos Narrow"/>
        <family val="2"/>
      </rPr>
      <t>Journal of Geophysical Research: Oceans</t>
    </r>
    <r>
      <rPr>
        <sz val="11"/>
        <color rgb="FFFF0000"/>
        <rFont val="Aptos Narrow"/>
        <family val="2"/>
      </rPr>
      <t xml:space="preserve">, </t>
    </r>
    <r>
      <rPr>
        <i/>
        <sz val="11"/>
        <color rgb="FFFF0000"/>
        <rFont val="Aptos Narrow"/>
        <family val="2"/>
      </rPr>
      <t>124</t>
    </r>
    <r>
      <rPr>
        <sz val="11"/>
        <color rgb="FFFF0000"/>
        <rFont val="Aptos Narrow"/>
        <family val="2"/>
      </rPr>
      <t>(1), 635-651.</t>
    </r>
  </si>
  <si>
    <t>https://agupubs.onlinelibrary.wiley.com/doi/full/10.1029/2018JC014451</t>
  </si>
  <si>
    <t>Jia et al., 2022</t>
  </si>
  <si>
    <r>
      <t xml:space="preserve">Jia, T., Yang, K., Peng, Z., Tang, L., Duan, H., &amp; Luo, Y. (2022). Review on the change trend, attribution analysis, retrieval, simulation, and prediction of lake surface water temperature. </t>
    </r>
    <r>
      <rPr>
        <i/>
        <sz val="11"/>
        <color rgb="FFFF0000"/>
        <rFont val="Aptos Narrow"/>
        <family val="2"/>
      </rPr>
      <t>IEEE Journal of Selected Topics in Applied Earth Observations and Remote Sensing</t>
    </r>
    <r>
      <rPr>
        <sz val="11"/>
        <color rgb="FFFF0000"/>
        <rFont val="Aptos Narrow"/>
        <family val="2"/>
      </rPr>
      <t xml:space="preserve">, </t>
    </r>
    <r>
      <rPr>
        <i/>
        <sz val="11"/>
        <color rgb="FFFF0000"/>
        <rFont val="Aptos Narrow"/>
        <family val="2"/>
      </rPr>
      <t>15</t>
    </r>
    <r>
      <rPr>
        <sz val="11"/>
        <color rgb="FFFF0000"/>
        <rFont val="Aptos Narrow"/>
        <family val="2"/>
      </rPr>
      <t>, 6324-6355.</t>
    </r>
  </si>
  <si>
    <t>https://ieeexplore.ieee.org/abstract/document/9832434</t>
  </si>
  <si>
    <t>Absence of surface water temperature trends in lake kinneret despite present atmospheric warming: Comparisons with dead sea trends</t>
  </si>
  <si>
    <t>Kishcha P.; Starobinets B.; Lechinsky Y.; Alpert P.</t>
  </si>
  <si>
    <r>
      <t xml:space="preserve">Kishcha, P., Starobinets, B., Lechinsky, Y., &amp; Alpert, P. (2021). Absence of surface water temperature trends in lake kinneret despite present atmospheric warming: Comparisons with dead sea trends. </t>
    </r>
    <r>
      <rPr>
        <i/>
        <sz val="11"/>
        <color rgb="FFFF0000"/>
        <rFont val="Aptos Narrow"/>
        <family val="2"/>
      </rPr>
      <t>Remote Sensing (Basel, Switzerland)</t>
    </r>
    <r>
      <rPr>
        <sz val="11"/>
        <color rgb="FFFF0000"/>
        <rFont val="Aptos Narrow"/>
        <family val="2"/>
      </rPr>
      <t xml:space="preserve">, </t>
    </r>
    <r>
      <rPr>
        <i/>
        <sz val="11"/>
        <color rgb="FFFF0000"/>
        <rFont val="Aptos Narrow"/>
        <family val="2"/>
      </rPr>
      <t>13</t>
    </r>
    <r>
      <rPr>
        <sz val="11"/>
        <color rgb="FFFF0000"/>
        <rFont val="Aptos Narrow"/>
        <family val="2"/>
      </rPr>
      <t>(17), 3461-. https://doi.org/10.3390/rs13173461</t>
    </r>
  </si>
  <si>
    <t>Global climatology of surface water temperatures of large lakes by remote sensing.</t>
  </si>
  <si>
    <t>Layden et al., 2015</t>
  </si>
  <si>
    <r>
      <t xml:space="preserve">Layden, A., Merchant, C., &amp; MacCallum, S. (2015). Global climatology of surface water temperatures of large lakes by remote sensing. </t>
    </r>
    <r>
      <rPr>
        <i/>
        <sz val="11"/>
        <color rgb="FFFF0000"/>
        <rFont val="Aptos Narrow"/>
        <family val="2"/>
      </rPr>
      <t>International Journal of Climatology</t>
    </r>
    <r>
      <rPr>
        <sz val="11"/>
        <color rgb="FFFF0000"/>
        <rFont val="Aptos Narrow"/>
        <family val="2"/>
      </rPr>
      <t xml:space="preserve">, </t>
    </r>
    <r>
      <rPr>
        <i/>
        <sz val="11"/>
        <color rgb="FFFF0000"/>
        <rFont val="Aptos Narrow"/>
        <family val="2"/>
      </rPr>
      <t>35</t>
    </r>
    <r>
      <rPr>
        <sz val="11"/>
        <color rgb="FFFF0000"/>
        <rFont val="Aptos Narrow"/>
        <family val="2"/>
      </rPr>
      <t>(15), 4464-4479.</t>
    </r>
  </si>
  <si>
    <t>Determining lake surface water temperatures worldwide using a tuned one-dimensional lake model (FLake, v1)</t>
  </si>
  <si>
    <t>Layden et al., 2016</t>
  </si>
  <si>
    <r>
      <t xml:space="preserve">Layden, A., MacCallum, S. N., &amp; Merchant, C. J. (2016). Determining lake surface water temperatures worldwide using a tuned one-dimensional lake model (FLake, v1). </t>
    </r>
    <r>
      <rPr>
        <i/>
        <sz val="11"/>
        <color rgb="FFFF0000"/>
        <rFont val="Aptos Narrow"/>
        <family val="2"/>
      </rPr>
      <t>Geoscientific Model Development</t>
    </r>
    <r>
      <rPr>
        <sz val="11"/>
        <color rgb="FFFF0000"/>
        <rFont val="Aptos Narrow"/>
        <family val="2"/>
      </rPr>
      <t xml:space="preserve">, </t>
    </r>
    <r>
      <rPr>
        <i/>
        <sz val="11"/>
        <color rgb="FFFF0000"/>
        <rFont val="Aptos Narrow"/>
        <family val="2"/>
      </rPr>
      <t>9</t>
    </r>
    <r>
      <rPr>
        <sz val="11"/>
        <color rgb="FFFF0000"/>
        <rFont val="Aptos Narrow"/>
        <family val="2"/>
      </rPr>
      <t>(6), 2167-2189.</t>
    </r>
  </si>
  <si>
    <t>Geoscientific Model Development</t>
  </si>
  <si>
    <t>https://gmd.copernicus.org/articles/9/2167/2016/</t>
  </si>
  <si>
    <t>Lake surface water temperature derived from 35 years of AVHRR sensor data for European lakes.</t>
  </si>
  <si>
    <r>
      <t xml:space="preserve">Lieberherr, G., &amp; Wunderle, S. (2018). Lake surface water temperature derived from 35 years of AVHRR sensor data for European lakes. </t>
    </r>
    <r>
      <rPr>
        <i/>
        <sz val="11"/>
        <color rgb="FFFF0000"/>
        <rFont val="Aptos Narrow"/>
        <family val="2"/>
      </rPr>
      <t>Remote sensing</t>
    </r>
    <r>
      <rPr>
        <sz val="11"/>
        <color rgb="FFFF0000"/>
        <rFont val="Aptos Narrow"/>
        <family val="2"/>
      </rPr>
      <t xml:space="preserve">, </t>
    </r>
    <r>
      <rPr>
        <i/>
        <sz val="11"/>
        <color rgb="FFFF0000"/>
        <rFont val="Aptos Narrow"/>
        <family val="2"/>
      </rPr>
      <t>10</t>
    </r>
    <r>
      <rPr>
        <sz val="11"/>
        <color rgb="FFFF0000"/>
        <rFont val="Aptos Narrow"/>
        <family val="2"/>
      </rPr>
      <t>(7), 990.</t>
    </r>
  </si>
  <si>
    <t>Validating and mapping surface water temperatures in Lake Taihu: Results from MODIS land surface temperature products</t>
  </si>
  <si>
    <r>
      <t xml:space="preserve">Liu, G., Ou, W., Zhang, Y., Wu, T., Zhu, G., Shi, K., &amp; Qin, B. (2015). Validating and mapping surface water temperatures in Lake Taihu: Results from MODIS land surface temperature products. </t>
    </r>
    <r>
      <rPr>
        <i/>
        <sz val="11"/>
        <color rgb="FFFF0000"/>
        <rFont val="Aptos Narrow"/>
        <family val="2"/>
      </rPr>
      <t>IEEE Journal of Selected Topics in Applied Earth Observations and Remote Sensing</t>
    </r>
    <r>
      <rPr>
        <sz val="11"/>
        <color rgb="FFFF0000"/>
        <rFont val="Aptos Narrow"/>
        <family val="2"/>
      </rPr>
      <t xml:space="preserve">, </t>
    </r>
    <r>
      <rPr>
        <i/>
        <sz val="11"/>
        <color rgb="FFFF0000"/>
        <rFont val="Aptos Narrow"/>
        <family val="2"/>
      </rPr>
      <t>8</t>
    </r>
    <r>
      <rPr>
        <sz val="11"/>
        <color rgb="FFFF0000"/>
        <rFont val="Aptos Narrow"/>
        <family val="2"/>
      </rPr>
      <t>(3), 1230-1244.</t>
    </r>
  </si>
  <si>
    <t>Variability of lake surface water temperature: a case study during El Nino and La Nina events over the Himalayan lake region</t>
  </si>
  <si>
    <t>Mushtaq F.; Ahmed P.; Nee Lala M.G.</t>
  </si>
  <si>
    <t>Evolution characteristics of water temperature in Lake Dongting from 1973 to 2020; [1973—2020年洞庭湖水温演变特征]</t>
  </si>
  <si>
    <t>Pan H.; Cai H.; Wang B.; Zhang P.; Yao Y.</t>
  </si>
  <si>
    <t>Hupo Kexue/Journal of Lake Sciences</t>
  </si>
  <si>
    <t>https://www.scopus.com/inward/record.uri?eid=2-s2.0-85146427360&amp;doi=10.18307%2f2023.0125&amp;partnerID=40&amp;md5=caa801220f63907a12b28d0e0241bee7</t>
  </si>
  <si>
    <t>Browning‐related decreases in water transparency lead to long‐term increases in surface water temperature and thermal stratification in two small lakes.</t>
  </si>
  <si>
    <t>Pilla et al., 2018</t>
  </si>
  <si>
    <r>
      <t xml:space="preserve">Pilla, R. M., Williamson, C. E., Zhang, J., Smyth, R. L., Lenters, J. D., Brentrup, J. A., ... &amp; Fisher, T. J. (2018). Browning‐related decreases in water transparency lead to long‐term increases in surface water temperature and thermal stratification in two small lakes. </t>
    </r>
    <r>
      <rPr>
        <i/>
        <sz val="11"/>
        <color rgb="FFFF0000"/>
        <rFont val="Aptos Narrow"/>
        <family val="2"/>
      </rPr>
      <t>Journal of Geophysical Research: Biogeosciences</t>
    </r>
    <r>
      <rPr>
        <sz val="11"/>
        <color rgb="FFFF0000"/>
        <rFont val="Aptos Narrow"/>
        <family val="2"/>
      </rPr>
      <t xml:space="preserve">, </t>
    </r>
    <r>
      <rPr>
        <i/>
        <sz val="11"/>
        <color rgb="FFFF0000"/>
        <rFont val="Aptos Narrow"/>
        <family val="2"/>
      </rPr>
      <t>123</t>
    </r>
    <r>
      <rPr>
        <sz val="11"/>
        <color rgb="FFFF0000"/>
        <rFont val="Aptos Narrow"/>
        <family val="2"/>
      </rPr>
      <t>(5), 1651-1665.</t>
    </r>
  </si>
  <si>
    <t>ournal of Geophysical Research: Biogeosciences</t>
  </si>
  <si>
    <t>Transparency, geomorphology and mixing regime explain variability in trends in lake temperature and stratification across Northeastern North America (1975-2014)</t>
  </si>
  <si>
    <t>Richardson D.C.; Melles S.J.; Pilla R.M.; Hetherington A.L.; Knoll L.B.; Williamson C.E.; Kraemer B.M.; Jackson J.R.; Long E.C.; Moore K.; Rudstam L.G.; Rusak J.A.; Saros J.E.; Sharma S.; Strock K.E.; Weathers K.C.; Wigdahl-Perry C.R.</t>
  </si>
  <si>
    <t>https://www.mdpi.com/2073-4441/9/6/442</t>
  </si>
  <si>
    <t>Senyshen and Chen, 2023</t>
  </si>
  <si>
    <r>
      <t xml:space="preserve">Senyshen, M. D., &amp; Chen, D. (2023). The impact of land cover change on surface water temperature of small lakes in Eastern Ontario from 1985 to 2020. </t>
    </r>
    <r>
      <rPr>
        <i/>
        <sz val="11"/>
        <color rgb="FFFF0000"/>
        <rFont val="Aptos Narrow"/>
        <family val="2"/>
      </rPr>
      <t>Land</t>
    </r>
    <r>
      <rPr>
        <sz val="11"/>
        <color rgb="FFFF0000"/>
        <rFont val="Aptos Narrow"/>
        <family val="2"/>
      </rPr>
      <t xml:space="preserve">, </t>
    </r>
    <r>
      <rPr>
        <i/>
        <sz val="11"/>
        <color rgb="FFFF0000"/>
        <rFont val="Aptos Narrow"/>
        <family val="2"/>
      </rPr>
      <t>12</t>
    </r>
    <r>
      <rPr>
        <sz val="11"/>
        <color rgb="FFFF0000"/>
        <rFont val="Aptos Narrow"/>
        <family val="2"/>
      </rPr>
      <t>(3), 547.</t>
    </r>
  </si>
  <si>
    <t>Land</t>
  </si>
  <si>
    <t>https://www.mdpi.com/2073-445X/12/3/547</t>
  </si>
  <si>
    <t>The Impact of Land Cover Change on Surface Water Temperature of Small Lakes in Eastern Ontario from 1985 to 2020</t>
  </si>
  <si>
    <t>Senyshen M.D.; Chen D.</t>
  </si>
  <si>
    <t>https://www.scopus.com/inward/record.uri?eid=2-s2.0-85151411016&amp;doi=10.3390%2fland12030547&amp;partnerID=40&amp;md5=56ee6b78579144bc96153f8da33fadf9</t>
  </si>
  <si>
    <r>
      <t xml:space="preserve">Shi, Y., Huang, A., Wu, Y., Lazhu, &amp; Wen, L. (2024). Trends of Summer Lake Surface Water Temperature on the Tibetan Plateau and Their Response to Climate Change. </t>
    </r>
    <r>
      <rPr>
        <i/>
        <sz val="11"/>
        <color rgb="FFFF0000"/>
        <rFont val="Aptos Narrow"/>
        <family val="2"/>
      </rPr>
      <t>Earth and Space Science</t>
    </r>
    <r>
      <rPr>
        <sz val="11"/>
        <color rgb="FFFF0000"/>
        <rFont val="Aptos Narrow"/>
        <family val="2"/>
      </rPr>
      <t xml:space="preserve">, </t>
    </r>
    <r>
      <rPr>
        <i/>
        <sz val="11"/>
        <color rgb="FFFF0000"/>
        <rFont val="Aptos Narrow"/>
        <family val="2"/>
      </rPr>
      <t>11</t>
    </r>
    <r>
      <rPr>
        <sz val="11"/>
        <color rgb="FFFF0000"/>
        <rFont val="Aptos Narrow"/>
        <family val="2"/>
      </rPr>
      <t>(12), e2024EA003910.</t>
    </r>
  </si>
  <si>
    <t>Tang L.; Yang K.; Shang C.; Peng Z.; Luo Y.</t>
  </si>
  <si>
    <t>https://www.scopus.com/inward/record.uri?eid=2-s2.0-85138246348&amp;doi=10.3389%2ffenvs.2022.991502&amp;partnerID=40&amp;md5=800908a0f4a2f230afdf16238a12649f</t>
  </si>
  <si>
    <t>SELF v1.0: a minimal physical model for predicting time of freeze-up in lakes</t>
  </si>
  <si>
    <t>Toffolon M.; Cortese L.; Bouffard D.</t>
  </si>
  <si>
    <t>https://www.scopus.com/inward/record.uri?eid=2-s2.0-85121223370&amp;doi=10.5194%2fgmd-14-7527-2021&amp;partnerID=40&amp;md5=deb44a5c1b7a0971dde8f649dfe9c6f5</t>
  </si>
  <si>
    <t>Estimation of the Thermally Reactive Layer in Lakes Based on Surface Water Temperature</t>
  </si>
  <si>
    <t>Toffolon M.; Yousefi A.; Piccolroaz S.</t>
  </si>
  <si>
    <t>https://www.scopus.com/inward/record.uri?eid=2-s2.0-85132912876&amp;doi=10.1029%2f2021WR031755&amp;partnerID=40&amp;md5=8d59ee0352a90e56355e004bb6742223</t>
  </si>
  <si>
    <t>Estimation of satellite-derived lake water surface temperatures in the western Mediterranean: Integrating multi-source, multi-resolution imagery and a long-term field dataset using a time series approach</t>
  </si>
  <si>
    <t>Virdis S.G.P.; Soodcharoen N.; Lugliè A.; Padedda B.M.</t>
  </si>
  <si>
    <t>https://www.scopus.com/inward/record.uri?eid=2-s2.0-85076053006&amp;doi=10.1016%2fj.scitotenv.2019.135567&amp;partnerID=40&amp;md5=08d9c1ffffae65d73b46683c88494c0d</t>
  </si>
  <si>
    <r>
      <t xml:space="preserve">Wan, W., Zhao, L., Xie, H., Liu, B., Li, H., Cui, Y., ... &amp; Hong, Y. (2018). Lake surface water temperature change over the Tibetan plateau from 2001 to 2015: A sensitive indicator of the warming climate. </t>
    </r>
    <r>
      <rPr>
        <i/>
        <sz val="11"/>
        <color rgb="FFFF0000"/>
        <rFont val="Aptos Narrow"/>
        <family val="2"/>
      </rPr>
      <t>Geophysical Research Letters</t>
    </r>
    <r>
      <rPr>
        <sz val="11"/>
        <color rgb="FFFF0000"/>
        <rFont val="Aptos Narrow"/>
        <family val="2"/>
      </rPr>
      <t xml:space="preserve">, </t>
    </r>
    <r>
      <rPr>
        <i/>
        <sz val="11"/>
        <color rgb="FFFF0000"/>
        <rFont val="Aptos Narrow"/>
        <family val="2"/>
      </rPr>
      <t>45</t>
    </r>
    <r>
      <rPr>
        <sz val="11"/>
        <color rgb="FFFF0000"/>
        <rFont val="Aptos Narrow"/>
        <family val="2"/>
      </rPr>
      <t>(20), 11-177.</t>
    </r>
  </si>
  <si>
    <t>Lake Surface Water Temperature Change Over the Tibetan Plateau From 2001 to 2015: A Sensitive Indicator of the Warming Climate.</t>
  </si>
  <si>
    <t>Numerical simulation of thermal stratification in Lake Qiandaohu using an improved WRF-Lake model</t>
  </si>
  <si>
    <t>Wang X.; Wang W.; He Y.; Zhang S.; Huang W.; Woolway R.I.; Shi K.; Yang X.</t>
  </si>
  <si>
    <t>https://www.scopus.com/inward/record.uri?eid=2-s2.0-85147545824&amp;doi=10.1016%2fj.jhydrol.2023.129184&amp;partnerID=40&amp;md5=a4dcfd2eb26563ba6295b7998f292363</t>
  </si>
  <si>
    <r>
      <t xml:space="preserve">Xie, C., Zhang, X., Zhuang, L., Zhu, R., &amp; Guo, J. (2022). Analysis of surface temperature variation of lakes in China using MODIS land surface temperature data. </t>
    </r>
    <r>
      <rPr>
        <i/>
        <sz val="11"/>
        <color rgb="FFFF0000"/>
        <rFont val="Aptos Narrow"/>
        <family val="2"/>
      </rPr>
      <t>Scientific Reports</t>
    </r>
    <r>
      <rPr>
        <sz val="11"/>
        <color rgb="FFFF0000"/>
        <rFont val="Aptos Narrow"/>
        <family val="2"/>
      </rPr>
      <t xml:space="preserve">, </t>
    </r>
    <r>
      <rPr>
        <i/>
        <sz val="11"/>
        <color rgb="FFFF0000"/>
        <rFont val="Aptos Narrow"/>
        <family val="2"/>
      </rPr>
      <t>12</t>
    </r>
    <r>
      <rPr>
        <sz val="11"/>
        <color rgb="FFFF0000"/>
        <rFont val="Aptos Narrow"/>
        <family val="2"/>
      </rPr>
      <t>(1), 2415.</t>
    </r>
  </si>
  <si>
    <r>
      <t xml:space="preserve">Yang, K., Yu, Z., &amp; Luo, Y. (2020). Analysis on driving factors of lake surface water temperature for major lakes in Yunnan-Guizhou Plateau. </t>
    </r>
    <r>
      <rPr>
        <i/>
        <sz val="11"/>
        <color rgb="FFFF0000"/>
        <rFont val="Aptos Narrow"/>
        <family val="2"/>
      </rPr>
      <t>Water Research</t>
    </r>
    <r>
      <rPr>
        <sz val="11"/>
        <color rgb="FFFF0000"/>
        <rFont val="Aptos Narrow"/>
        <family val="2"/>
      </rPr>
      <t xml:space="preserve">, </t>
    </r>
    <r>
      <rPr>
        <i/>
        <sz val="11"/>
        <color rgb="FFFF0000"/>
        <rFont val="Aptos Narrow"/>
        <family val="2"/>
      </rPr>
      <t>184</t>
    </r>
    <r>
      <rPr>
        <sz val="11"/>
        <color rgb="FFFF0000"/>
        <rFont val="Aptos Narrow"/>
        <family val="2"/>
      </rPr>
      <t>, 116018.</t>
    </r>
  </si>
  <si>
    <t>Precipitation events impact on urban lake surface water temperature under the perspective of macroscopic scale</t>
  </si>
  <si>
    <t>Yang et al., 2021</t>
  </si>
  <si>
    <r>
      <t xml:space="preserve">Yang, K., Zhang, Y., Luo, Y., &amp; Shang, C. (2021). Precipitation events impact on urban lake surface water temperature under the perspective of macroscopic scale. </t>
    </r>
    <r>
      <rPr>
        <i/>
        <sz val="11"/>
        <color rgb="FF000000"/>
        <rFont val="Aptos Narrow"/>
        <family val="2"/>
      </rPr>
      <t>Environmental Science and Pollution Research</t>
    </r>
    <r>
      <rPr>
        <sz val="11"/>
        <color rgb="FF000000"/>
        <rFont val="Aptos Narrow"/>
        <family val="2"/>
      </rPr>
      <t xml:space="preserve">, </t>
    </r>
    <r>
      <rPr>
        <i/>
        <sz val="11"/>
        <color rgb="FF000000"/>
        <rFont val="Aptos Narrow"/>
        <family val="2"/>
      </rPr>
      <t>28</t>
    </r>
    <r>
      <rPr>
        <sz val="11"/>
        <color rgb="FF000000"/>
        <rFont val="Aptos Narrow"/>
        <family val="2"/>
      </rPr>
      <t>, 16767-16780.</t>
    </r>
  </si>
  <si>
    <t>https://link.springer.com/article/10.1007/s11356-020-12093-0</t>
  </si>
  <si>
    <t>Lake surface water temperature prediction and changing characteristics analysis-A case study of 11 natural lakes in Yunnan-Guizhou Plateau</t>
  </si>
  <si>
    <r>
      <t xml:space="preserve">Yu, Z., Yang, K., Luo, Y., Shang, C., &amp; Zhu, Y. (2020). Lake surface water temperature prediction and changing characteristics analysis-A case study of 11 natural lakes in Yunnan-Guizhou Plateau. </t>
    </r>
    <r>
      <rPr>
        <i/>
        <sz val="11"/>
        <color rgb="FFFF0000"/>
        <rFont val="Aptos Narrow"/>
        <family val="2"/>
      </rPr>
      <t>Journal of Cleaner Production</t>
    </r>
    <r>
      <rPr>
        <sz val="11"/>
        <color rgb="FFFF0000"/>
        <rFont val="Aptos Narrow"/>
        <family val="2"/>
      </rPr>
      <t xml:space="preserve">, </t>
    </r>
    <r>
      <rPr>
        <i/>
        <sz val="11"/>
        <color rgb="FFFF0000"/>
        <rFont val="Aptos Narrow"/>
        <family val="2"/>
      </rPr>
      <t>276</t>
    </r>
    <r>
      <rPr>
        <sz val="11"/>
        <color rgb="FFFF0000"/>
        <rFont val="Aptos Narrow"/>
        <family val="2"/>
      </rPr>
      <t>, 122689.</t>
    </r>
  </si>
  <si>
    <t>Research on the lake surface water temperature downscaling based on deep learning</t>
  </si>
  <si>
    <t>Yu et al., 2021</t>
  </si>
  <si>
    <r>
      <t xml:space="preserve">Yu, Z., Yang, K., Luo, Y., Wang, P., &amp; Yang, Z. (2021). Research on the lake surface water temperature downscaling based on deep learning. </t>
    </r>
    <r>
      <rPr>
        <i/>
        <sz val="11"/>
        <color rgb="FF000000"/>
        <rFont val="Aptos Narrow"/>
        <family val="2"/>
      </rPr>
      <t>IEEE Journal of Selected Topics in Applied Earth Observations and Remote Sensing</t>
    </r>
    <r>
      <rPr>
        <sz val="11"/>
        <color rgb="FF000000"/>
        <rFont val="Aptos Narrow"/>
        <family val="2"/>
      </rPr>
      <t xml:space="preserve">, </t>
    </r>
    <r>
      <rPr>
        <i/>
        <sz val="11"/>
        <color rgb="FF000000"/>
        <rFont val="Aptos Narrow"/>
        <family val="2"/>
      </rPr>
      <t>14</t>
    </r>
    <r>
      <rPr>
        <sz val="11"/>
        <color rgb="FF000000"/>
        <rFont val="Aptos Narrow"/>
        <family val="2"/>
      </rPr>
      <t>, 5550-5558.</t>
    </r>
  </si>
  <si>
    <t>EEE Journal of Selected Topics in Applied Earth Observations and Remote Sensing</t>
  </si>
  <si>
    <t>“Cold and wet” and “warm and dry” climate transitions at the East Asian summer monsoon boundary during the last deglaciation</t>
  </si>
  <si>
    <t>Yue J.; Xiao J.; Wang X.; Meckler A.N.; Modestou S.E.; Fan J.</t>
  </si>
  <si>
    <t>Quaternary Science Reviews</t>
  </si>
  <si>
    <t>https://www.scopus.com/inward/record.uri?eid=2-s2.0-85138479645&amp;doi=10.1016%2fj.quascirev.2022.107767&amp;partnerID=40&amp;md5=3088021354a67219bbf7e8a623e1c335</t>
  </si>
  <si>
    <r>
      <t xml:space="preserve">Zhang, X., Wang, K., Frassl, M. A., &amp; Boehrer, B. (2020). Reconstructing six decades of surface temperatures at a shallow lake. </t>
    </r>
    <r>
      <rPr>
        <i/>
        <sz val="11"/>
        <color rgb="FFFF0000"/>
        <rFont val="Aptos Narrow"/>
        <family val="2"/>
      </rPr>
      <t>Water</t>
    </r>
    <r>
      <rPr>
        <sz val="11"/>
        <color rgb="FFFF0000"/>
        <rFont val="Aptos Narrow"/>
        <family val="2"/>
      </rPr>
      <t xml:space="preserve">, </t>
    </r>
    <r>
      <rPr>
        <i/>
        <sz val="11"/>
        <color rgb="FFFF0000"/>
        <rFont val="Aptos Narrow"/>
        <family val="2"/>
      </rPr>
      <t>12</t>
    </r>
    <r>
      <rPr>
        <sz val="11"/>
        <color rgb="FFFF0000"/>
        <rFont val="Aptos Narrow"/>
        <family val="2"/>
      </rPr>
      <t>(2), 405.</t>
    </r>
  </si>
  <si>
    <t>Spatial–temporal characteristics of surface thermal environment and its effect on Lake surface water temperature in Dianchi Lake basin.</t>
  </si>
  <si>
    <r>
      <t xml:space="preserve">Zhao, Y., Yang, K., Luo, Y., &amp; Yu, Z. (2022). Spatial–temporal characteristics of surface thermal environment and its effect on Lake surface water temperature in Dianchi Lake basin. </t>
    </r>
    <r>
      <rPr>
        <i/>
        <sz val="11"/>
        <color rgb="FF000000"/>
        <rFont val="Aptos Narrow"/>
        <family val="2"/>
      </rPr>
      <t>Frontiers in Ecology and Evolution</t>
    </r>
    <r>
      <rPr>
        <sz val="11"/>
        <color rgb="FF000000"/>
        <rFont val="Aptos Narrow"/>
        <family val="2"/>
      </rPr>
      <t xml:space="preserve">, </t>
    </r>
    <r>
      <rPr>
        <i/>
        <sz val="11"/>
        <color rgb="FF000000"/>
        <rFont val="Aptos Narrow"/>
        <family val="2"/>
      </rPr>
      <t>10</t>
    </r>
    <r>
      <rPr>
        <sz val="11"/>
        <color rgb="FF000000"/>
        <rFont val="Aptos Narrow"/>
        <family val="2"/>
      </rPr>
      <t>, 984692.</t>
    </r>
  </si>
  <si>
    <t>Water Surface Temperature Dynamics of the Three Largest Ice-Contact Lakes in the Patagonia Icefield over the Last 20 Years</t>
  </si>
  <si>
    <t>Zhao S.; Sun H.; Cheng J.; Zhang G.</t>
  </si>
  <si>
    <t>https://www.scopus.com/inward/record.uri?eid=2-s2.0-85217579513&amp;doi=10.3390%2fw17030385&amp;partnerID=40&amp;md5=bd64ac86ce24357ea8011949b01272c4</t>
  </si>
  <si>
    <t>#"pond surface temperature" "cooling"</t>
  </si>
  <si>
    <t>contributor</t>
  </si>
  <si>
    <t>reports time trend</t>
  </si>
  <si>
    <t>Both</t>
  </si>
  <si>
    <r>
      <t xml:space="preserve">Nguyen, Q. V., &amp; Thi, V. H. D. (2025). Influence of Pond System on Surface Temperature and Urban Cooling. </t>
    </r>
    <r>
      <rPr>
        <i/>
        <sz val="11"/>
        <color rgb="FF000000"/>
        <rFont val="Aptos Narrow"/>
        <family val="2"/>
      </rPr>
      <t>Ecohydrology</t>
    </r>
    <r>
      <rPr>
        <sz val="11"/>
        <color rgb="FF000000"/>
        <rFont val="Aptos Narrow"/>
        <family val="2"/>
      </rPr>
      <t xml:space="preserve">, </t>
    </r>
    <r>
      <rPr>
        <i/>
        <sz val="11"/>
        <color rgb="FF000000"/>
        <rFont val="Aptos Narrow"/>
        <family val="2"/>
      </rPr>
      <t>18</t>
    </r>
    <r>
      <rPr>
        <sz val="11"/>
        <color rgb="FF000000"/>
        <rFont val="Aptos Narrow"/>
        <family val="2"/>
      </rPr>
      <t>(1), e2760.</t>
    </r>
  </si>
  <si>
    <r>
      <t xml:space="preserve">Herb, W. R., Mohseni, O., &amp; Stefan, H. G. (2009). Simulation of temperature mitigation by a stormwater detention pond 1. </t>
    </r>
    <r>
      <rPr>
        <i/>
        <sz val="11"/>
        <color rgb="FF000000"/>
        <rFont val="Aptos Narrow"/>
        <family val="2"/>
      </rPr>
      <t>JAWRA Journal of the American Water Resources Association</t>
    </r>
    <r>
      <rPr>
        <sz val="11"/>
        <color rgb="FF000000"/>
        <rFont val="Aptos Narrow"/>
        <family val="2"/>
      </rPr>
      <t xml:space="preserve">, </t>
    </r>
    <r>
      <rPr>
        <i/>
        <sz val="11"/>
        <color rgb="FF000000"/>
        <rFont val="Aptos Narrow"/>
        <family val="2"/>
      </rPr>
      <t>45</t>
    </r>
    <r>
      <rPr>
        <sz val="11"/>
        <color rgb="FF000000"/>
        <rFont val="Aptos Narrow"/>
        <family val="2"/>
      </rPr>
      <t>(5), 1164-1178.</t>
    </r>
  </si>
  <si>
    <t>GS</t>
  </si>
  <si>
    <r>
      <t xml:space="preserve">Stajkowski, S., Laleva, A., Farghaly, H., Bonakdari, H., &amp; Gharabaghi, B. (2021). Modelling dry-weather temperature profiles in urban stormwater management ponds. </t>
    </r>
    <r>
      <rPr>
        <i/>
        <strike/>
        <sz val="11"/>
        <color rgb="FF000000"/>
        <rFont val="Aptos Narrow"/>
        <family val="2"/>
      </rPr>
      <t>Journal of Hydrology</t>
    </r>
    <r>
      <rPr>
        <strike/>
        <sz val="11"/>
        <color rgb="FF000000"/>
        <rFont val="Aptos Narrow"/>
        <family val="2"/>
      </rPr>
      <t xml:space="preserve">, </t>
    </r>
    <r>
      <rPr>
        <i/>
        <strike/>
        <sz val="11"/>
        <color rgb="FF000000"/>
        <rFont val="Aptos Narrow"/>
        <family val="2"/>
      </rPr>
      <t>598</t>
    </r>
    <r>
      <rPr>
        <strike/>
        <sz val="11"/>
        <color rgb="FF000000"/>
        <rFont val="Aptos Narrow"/>
        <family val="2"/>
      </rPr>
      <t>, 126206.</t>
    </r>
  </si>
  <si>
    <t>Bärenbold, F., Bouffard, D., &amp; Schmid, M. (2024). Significant bias in pond surface temperature measurements caused by solar radiation.</t>
  </si>
  <si>
    <t>preprint since 2024</t>
  </si>
  <si>
    <t>Herb, W. R., Janke, B., Mohseni, O., &amp; Stefan, H. G. (2007). Estimation of runoff temperatures and heat export from different land and water surfaces.</t>
  </si>
  <si>
    <r>
      <t xml:space="preserve">Hung, Y. T., Eldridge, J., Taricska, J. R., Li, K. H., &amp; Shuster, W. W. (2021). Cooling and reuse of thermal discharges. </t>
    </r>
    <r>
      <rPr>
        <i/>
        <strike/>
        <sz val="11"/>
        <color rgb="FF000000"/>
        <rFont val="Aptos Narrow"/>
        <family val="2"/>
      </rPr>
      <t>Environmental and Natural Resources Engineering</t>
    </r>
    <r>
      <rPr>
        <strike/>
        <sz val="11"/>
        <color rgb="FF000000"/>
        <rFont val="Aptos Narrow"/>
        <family val="2"/>
      </rPr>
      <t>, 195-228.</t>
    </r>
  </si>
  <si>
    <t>cant access book chapter</t>
  </si>
  <si>
    <r>
      <t xml:space="preserve">West, R. E. (1978). </t>
    </r>
    <r>
      <rPr>
        <i/>
        <strike/>
        <sz val="11"/>
        <color rgb="FF000000"/>
        <rFont val="Aptos Narrow"/>
        <family val="2"/>
      </rPr>
      <t>Field investigation of cooling tower and cooling pond plumes</t>
    </r>
    <r>
      <rPr>
        <strike/>
        <sz val="11"/>
        <color rgb="FF000000"/>
        <rFont val="Aptos Narrow"/>
        <family val="2"/>
      </rPr>
      <t xml:space="preserve"> (Vol. 1). Environmental Protection Agency, Office of Research and Development, Corvallis Environmental Research Laboratory.</t>
    </r>
  </si>
  <si>
    <r>
      <t xml:space="preserve">Cerco, C. F. (1977). </t>
    </r>
    <r>
      <rPr>
        <i/>
        <strike/>
        <sz val="11"/>
        <color rgb="FF000000"/>
        <rFont val="Aptos Narrow"/>
        <family val="2"/>
      </rPr>
      <t>Experimental and analytical study of the design of shallow cooling ponds</t>
    </r>
    <r>
      <rPr>
        <strike/>
        <sz val="11"/>
        <color rgb="FF000000"/>
        <rFont val="Aptos Narrow"/>
        <family val="2"/>
      </rPr>
      <t xml:space="preserve"> (Doctoral dissertation, Massachusetts Institute of Technology).</t>
    </r>
  </si>
  <si>
    <t>Gosai, P. (2014). Viability assessment of enhancing dry cooling systems using thermal storage ponds.</t>
  </si>
  <si>
    <r>
      <t xml:space="preserve">Verma, S., &amp; Das, R. (2021). Transient study of a solar pond under heat extraction from non-convective and lower convective zones considering finite effectiveness of exchangers. </t>
    </r>
    <r>
      <rPr>
        <i/>
        <strike/>
        <sz val="11"/>
        <color rgb="FF000000"/>
        <rFont val="Aptos Narrow"/>
        <family val="2"/>
      </rPr>
      <t>Solar Energy</t>
    </r>
    <r>
      <rPr>
        <strike/>
        <sz val="11"/>
        <color rgb="FF000000"/>
        <rFont val="Aptos Narrow"/>
        <family val="2"/>
      </rPr>
      <t xml:space="preserve">, </t>
    </r>
    <r>
      <rPr>
        <i/>
        <strike/>
        <sz val="11"/>
        <color rgb="FF000000"/>
        <rFont val="Aptos Narrow"/>
        <family val="2"/>
      </rPr>
      <t>223</t>
    </r>
    <r>
      <rPr>
        <strike/>
        <sz val="11"/>
        <color rgb="FF000000"/>
        <rFont val="Aptos Narrow"/>
        <family val="2"/>
      </rPr>
      <t>, 437-448.</t>
    </r>
  </si>
  <si>
    <r>
      <t xml:space="preserve">Codell, R., &amp; Nuttle, W. K. (1980). </t>
    </r>
    <r>
      <rPr>
        <i/>
        <strike/>
        <sz val="11"/>
        <color rgb="FF000000"/>
        <rFont val="Aptos Narrow"/>
        <family val="2"/>
      </rPr>
      <t>Analysis of Ultimate Heat Sink Cooling Ponds</t>
    </r>
    <r>
      <rPr>
        <strike/>
        <sz val="11"/>
        <color rgb="FF000000"/>
        <rFont val="Aptos Narrow"/>
        <family val="2"/>
      </rPr>
      <t xml:space="preserve"> (Vol. 88). Division of Engineering, Office of Nuclear Reactor Regulation, US Nuclear Regulatory Commission.</t>
    </r>
  </si>
  <si>
    <r>
      <t xml:space="preserve">Adams, E. E. (1982). The transient response of cooling ponds. </t>
    </r>
    <r>
      <rPr>
        <i/>
        <strike/>
        <sz val="11"/>
        <color rgb="FF000000"/>
        <rFont val="Aptos Narrow"/>
        <family val="2"/>
      </rPr>
      <t>Water Resources Research</t>
    </r>
    <r>
      <rPr>
        <strike/>
        <sz val="11"/>
        <color rgb="FF000000"/>
        <rFont val="Aptos Narrow"/>
        <family val="2"/>
      </rPr>
      <t xml:space="preserve">, </t>
    </r>
    <r>
      <rPr>
        <i/>
        <strike/>
        <sz val="11"/>
        <color rgb="FF000000"/>
        <rFont val="Aptos Narrow"/>
        <family val="2"/>
      </rPr>
      <t>18</t>
    </r>
    <r>
      <rPr>
        <strike/>
        <sz val="11"/>
        <color rgb="FF000000"/>
        <rFont val="Aptos Narrow"/>
        <family val="2"/>
      </rPr>
      <t>(5), 1469-1478.</t>
    </r>
  </si>
  <si>
    <r>
      <t xml:space="preserve">Tsilingiris, P. T. (1992). The absorption chiller in large scale solar pond cooling design with condenser heat rejection in the upper convecting zone. </t>
    </r>
    <r>
      <rPr>
        <i/>
        <strike/>
        <sz val="11"/>
        <color rgb="FF000000"/>
        <rFont val="Aptos Narrow"/>
        <family val="2"/>
      </rPr>
      <t>Solar energy</t>
    </r>
    <r>
      <rPr>
        <strike/>
        <sz val="11"/>
        <color rgb="FF000000"/>
        <rFont val="Aptos Narrow"/>
        <family val="2"/>
      </rPr>
      <t xml:space="preserve">, </t>
    </r>
    <r>
      <rPr>
        <i/>
        <strike/>
        <sz val="11"/>
        <color rgb="FF000000"/>
        <rFont val="Aptos Narrow"/>
        <family val="2"/>
      </rPr>
      <t>49</t>
    </r>
    <r>
      <rPr>
        <strike/>
        <sz val="11"/>
        <color rgb="FF000000"/>
        <rFont val="Aptos Narrow"/>
        <family val="2"/>
      </rPr>
      <t>(1), 19-27.</t>
    </r>
  </si>
  <si>
    <r>
      <t xml:space="preserve">Saleh, A. (2022). Modeling and performance analysis of a solar pond integrated with an absorption cooling system. </t>
    </r>
    <r>
      <rPr>
        <i/>
        <strike/>
        <sz val="11"/>
        <color rgb="FF000000"/>
        <rFont val="Aptos Narrow"/>
        <family val="2"/>
      </rPr>
      <t>Energies</t>
    </r>
    <r>
      <rPr>
        <strike/>
        <sz val="11"/>
        <color rgb="FF000000"/>
        <rFont val="Aptos Narrow"/>
        <family val="2"/>
      </rPr>
      <t xml:space="preserve">, </t>
    </r>
    <r>
      <rPr>
        <i/>
        <strike/>
        <sz val="11"/>
        <color rgb="FF000000"/>
        <rFont val="Aptos Narrow"/>
        <family val="2"/>
      </rPr>
      <t>15</t>
    </r>
    <r>
      <rPr>
        <strike/>
        <sz val="11"/>
        <color rgb="FF000000"/>
        <rFont val="Aptos Narrow"/>
        <family val="2"/>
      </rPr>
      <t>(22), 8327.</t>
    </r>
  </si>
  <si>
    <r>
      <t xml:space="preserve">Jirka, G. H., &amp; Watanabe, M. (1980). Steady-state estimation of cooling pond performance. </t>
    </r>
    <r>
      <rPr>
        <i/>
        <strike/>
        <sz val="11"/>
        <color rgb="FF000000"/>
        <rFont val="Aptos Narrow"/>
        <family val="2"/>
      </rPr>
      <t>Journal of the Hydraulics Division</t>
    </r>
    <r>
      <rPr>
        <strike/>
        <sz val="11"/>
        <color rgb="FF000000"/>
        <rFont val="Aptos Narrow"/>
        <family val="2"/>
      </rPr>
      <t xml:space="preserve">, </t>
    </r>
    <r>
      <rPr>
        <i/>
        <strike/>
        <sz val="11"/>
        <color rgb="FF000000"/>
        <rFont val="Aptos Narrow"/>
        <family val="2"/>
      </rPr>
      <t>106</t>
    </r>
    <r>
      <rPr>
        <strike/>
        <sz val="11"/>
        <color rgb="FF000000"/>
        <rFont val="Aptos Narrow"/>
        <family val="2"/>
      </rPr>
      <t>(6), 1116-1123.</t>
    </r>
  </si>
  <si>
    <r>
      <t xml:space="preserve">Tichenor, B. A., &amp; Christianson, A. G. (1973). Closure to “Cooling Pond Temperature Versus Size and Water Loss”. </t>
    </r>
    <r>
      <rPr>
        <i/>
        <strike/>
        <sz val="11"/>
        <color rgb="FF000000"/>
        <rFont val="Aptos Narrow"/>
        <family val="2"/>
      </rPr>
      <t>Journal of the Power Division</t>
    </r>
    <r>
      <rPr>
        <strike/>
        <sz val="11"/>
        <color rgb="FF000000"/>
        <rFont val="Aptos Narrow"/>
        <family val="2"/>
      </rPr>
      <t xml:space="preserve">, </t>
    </r>
    <r>
      <rPr>
        <i/>
        <strike/>
        <sz val="11"/>
        <color rgb="FF000000"/>
        <rFont val="Aptos Narrow"/>
        <family val="2"/>
      </rPr>
      <t>99</t>
    </r>
    <r>
      <rPr>
        <strike/>
        <sz val="11"/>
        <color rgb="FF000000"/>
        <rFont val="Aptos Narrow"/>
        <family val="2"/>
      </rPr>
      <t>(1), 252-252.</t>
    </r>
  </si>
  <si>
    <t>cant access journal aticle, probably no, however</t>
  </si>
  <si>
    <r>
      <t xml:space="preserve">Jeong, S. J., Choi, D. H., &amp; Lee, B. Y. (2008). Evaluation of Passive Cooling Effect on Roof Pond through Field Observation. </t>
    </r>
    <r>
      <rPr>
        <i/>
        <strike/>
        <sz val="11"/>
        <color rgb="FF000000"/>
        <rFont val="Aptos Narrow"/>
        <family val="2"/>
      </rPr>
      <t>한국태양에너지학회: 학술대회논문집</t>
    </r>
    <r>
      <rPr>
        <strike/>
        <sz val="11"/>
        <color rgb="FF000000"/>
        <rFont val="Aptos Narrow"/>
        <family val="2"/>
      </rPr>
      <t>, 85-89.</t>
    </r>
  </si>
  <si>
    <r>
      <t xml:space="preserve">Hicks, B. B. (1977). The prediction of fog over cooling ponds. </t>
    </r>
    <r>
      <rPr>
        <i/>
        <strike/>
        <sz val="11"/>
        <color rgb="FF000000"/>
        <rFont val="Aptos Narrow"/>
        <family val="2"/>
      </rPr>
      <t>Journal of the Air Pollution Control Association</t>
    </r>
    <r>
      <rPr>
        <strike/>
        <sz val="11"/>
        <color rgb="FF000000"/>
        <rFont val="Aptos Narrow"/>
        <family val="2"/>
      </rPr>
      <t xml:space="preserve">, </t>
    </r>
    <r>
      <rPr>
        <i/>
        <strike/>
        <sz val="11"/>
        <color rgb="FF000000"/>
        <rFont val="Aptos Narrow"/>
        <family val="2"/>
      </rPr>
      <t>27</t>
    </r>
    <r>
      <rPr>
        <strike/>
        <sz val="11"/>
        <color rgb="FF000000"/>
        <rFont val="Aptos Narrow"/>
        <family val="2"/>
      </rPr>
      <t>(2), 140-142.</t>
    </r>
  </si>
  <si>
    <r>
      <t xml:space="preserve">Cathcart, T. P., &amp; Wheaton, F. W. (1987). Modeling temperature distribution in freshwater ponds. </t>
    </r>
    <r>
      <rPr>
        <i/>
        <strike/>
        <sz val="11"/>
        <color rgb="FF000000"/>
        <rFont val="Aptos Narrow"/>
        <family val="2"/>
      </rPr>
      <t>Aquacultural Engineering</t>
    </r>
    <r>
      <rPr>
        <strike/>
        <sz val="11"/>
        <color rgb="FF000000"/>
        <rFont val="Aptos Narrow"/>
        <family val="2"/>
      </rPr>
      <t xml:space="preserve">, </t>
    </r>
    <r>
      <rPr>
        <i/>
        <strike/>
        <sz val="11"/>
        <color rgb="FF000000"/>
        <rFont val="Aptos Narrow"/>
        <family val="2"/>
      </rPr>
      <t>6</t>
    </r>
    <r>
      <rPr>
        <strike/>
        <sz val="11"/>
        <color rgb="FF000000"/>
        <rFont val="Aptos Narrow"/>
        <family val="2"/>
      </rPr>
      <t>(4), 237-257.</t>
    </r>
  </si>
  <si>
    <r>
      <t xml:space="preserve">Li, Y. L., Tsutsumi, J. I. G., &amp; Nakamatsu, R. (2014). Field Tests of 4 Types of Cool Roof System to Reduce Cooling Load. </t>
    </r>
    <r>
      <rPr>
        <i/>
        <strike/>
        <sz val="11"/>
        <color rgb="FF000000"/>
        <rFont val="Aptos Narrow"/>
        <family val="2"/>
      </rPr>
      <t>Advanced Materials Research</t>
    </r>
    <r>
      <rPr>
        <strike/>
        <sz val="11"/>
        <color rgb="FF000000"/>
        <rFont val="Aptos Narrow"/>
        <family val="2"/>
      </rPr>
      <t xml:space="preserve">, </t>
    </r>
    <r>
      <rPr>
        <i/>
        <strike/>
        <sz val="11"/>
        <color rgb="FF000000"/>
        <rFont val="Aptos Narrow"/>
        <family val="2"/>
      </rPr>
      <t>1008</t>
    </r>
    <r>
      <rPr>
        <strike/>
        <sz val="11"/>
        <color rgb="FF000000"/>
        <rFont val="Aptos Narrow"/>
        <family val="2"/>
      </rPr>
      <t>, 1336-1342.</t>
    </r>
  </si>
  <si>
    <r>
      <t xml:space="preserve">Hippler, R. R., Cohen, E., &amp; Tranby, O. G. (1974, January). Development and verification of a model for predicting fog over cooling ponds. In </t>
    </r>
    <r>
      <rPr>
        <i/>
        <strike/>
        <sz val="11"/>
        <color rgb="FF000000"/>
        <rFont val="Aptos Narrow"/>
        <family val="2"/>
      </rPr>
      <t>Proceedings of the 7th conference on Winter simulation-Volume 1</t>
    </r>
    <r>
      <rPr>
        <strike/>
        <sz val="11"/>
        <color rgb="FF000000"/>
        <rFont val="Aptos Narrow"/>
        <family val="2"/>
      </rPr>
      <t xml:space="preserve"> (pp. 153-159).</t>
    </r>
  </si>
  <si>
    <r>
      <t xml:space="preserve">Bornhoeft, K. W. (1996). </t>
    </r>
    <r>
      <rPr>
        <i/>
        <strike/>
        <sz val="11"/>
        <color rgb="FF000000"/>
        <rFont val="Aptos Narrow"/>
        <family val="2"/>
      </rPr>
      <t>Atmospheric Corrections for Remotely Sensed Surface Temperature Determination in the 3-5 μm Wavelength Region</t>
    </r>
    <r>
      <rPr>
        <strike/>
        <sz val="11"/>
        <color rgb="FF000000"/>
        <rFont val="Aptos Narrow"/>
        <family val="2"/>
      </rPr>
      <t>. University of Hawai'i at Manoa.</t>
    </r>
  </si>
  <si>
    <r>
      <t xml:space="preserve">Lu, H., Walton, J. C., &amp; Swift, A. H. (2001). Desalination coupled with salinity-gradient solar ponds. </t>
    </r>
    <r>
      <rPr>
        <i/>
        <strike/>
        <sz val="11"/>
        <color rgb="FF000000"/>
        <rFont val="Aptos Narrow"/>
        <family val="2"/>
      </rPr>
      <t>Desalination</t>
    </r>
    <r>
      <rPr>
        <strike/>
        <sz val="11"/>
        <color rgb="FF000000"/>
        <rFont val="Aptos Narrow"/>
        <family val="2"/>
      </rPr>
      <t xml:space="preserve">, </t>
    </r>
    <r>
      <rPr>
        <i/>
        <strike/>
        <sz val="11"/>
        <color rgb="FF000000"/>
        <rFont val="Aptos Narrow"/>
        <family val="2"/>
      </rPr>
      <t>136</t>
    </r>
    <r>
      <rPr>
        <strike/>
        <sz val="11"/>
        <color rgb="FF000000"/>
        <rFont val="Aptos Narrow"/>
        <family val="2"/>
      </rPr>
      <t>(1-3), 13-23.</t>
    </r>
  </si>
  <si>
    <r>
      <t xml:space="preserve">Sun, F. Z., Zhao, Y. B., Gao, M., Chen, Y. L., &amp; Shi, Y. T. (2011, January). Performance Deterioration Mechanism Analysis of Natural Draft Cooling Towers Under Crosswind Conditions. In </t>
    </r>
    <r>
      <rPr>
        <i/>
        <strike/>
        <sz val="11"/>
        <color rgb="FF000000"/>
        <rFont val="Aptos Narrow"/>
        <family val="2"/>
      </rPr>
      <t>ASME Power Conference</t>
    </r>
    <r>
      <rPr>
        <strike/>
        <sz val="11"/>
        <color rgb="FF000000"/>
        <rFont val="Aptos Narrow"/>
        <family val="2"/>
      </rPr>
      <t xml:space="preserve"> (Vol. 44601, pp. 287-291).</t>
    </r>
  </si>
  <si>
    <t>SC</t>
  </si>
  <si>
    <t>Volume</t>
  </si>
  <si>
    <t>Issue</t>
  </si>
  <si>
    <t>Art. No.</t>
  </si>
  <si>
    <t>Page start</t>
  </si>
  <si>
    <t>Page end</t>
  </si>
  <si>
    <t>Page count</t>
  </si>
  <si>
    <t>Cited by</t>
  </si>
  <si>
    <t>DOI</t>
  </si>
  <si>
    <t>Document Type</t>
  </si>
  <si>
    <t>Publication Stage</t>
  </si>
  <si>
    <t>Open Access</t>
  </si>
  <si>
    <t>EID</t>
  </si>
  <si>
    <t>Hippler R.R.; Cohen E.; Tranby O.G.</t>
  </si>
  <si>
    <t>Hippler, Robert R. (7003876373); Cohen, Edward (7403589103); Tranby, Orville G. (6506173836)</t>
  </si>
  <si>
    <t>7003876373; 7403589103; 6506173836</t>
  </si>
  <si>
    <t>Development and verification of a model for predicting fog over cooling ponds</t>
  </si>
  <si>
    <t>Proceedings - Winter Simulation Conference</t>
  </si>
  <si>
    <t>10.1145/800287.811177</t>
  </si>
  <si>
    <t>https://www.scopus.com/inward/record.uri?eid=2-s2.0-85059220415&amp;doi=10.1145%2f800287.811177&amp;partnerID=40&amp;md5=c3791f35468c798e4881a2073b8c9913</t>
  </si>
  <si>
    <t>Conference paper</t>
  </si>
  <si>
    <t>Final</t>
  </si>
  <si>
    <t>2-s2.0-85059220415</t>
  </si>
  <si>
    <t>Hippler Robert R.; Cohen Edward; Tranby Orville G.</t>
  </si>
  <si>
    <t>DEVELOPMENT AND VERIFICATION OF A MODEL FOR PREDICTING FOG OVER COOLING PONDS.</t>
  </si>
  <si>
    <t>https://www.scopus.com/inward/record.uri?eid=2-s2.0-0015991517&amp;partnerID=40&amp;md5=94ff62009cc62386f9ce5b626c606584</t>
  </si>
  <si>
    <t>2-s2.0-0015991517</t>
  </si>
  <si>
    <t>Nguyen Q.-V.; Thi V.-D.</t>
  </si>
  <si>
    <t>Nguyen, Quang-Viet (57925809400); Thi, Viet Huong-Do (59521651600)</t>
  </si>
  <si>
    <t>57925809400; 59521651600</t>
  </si>
  <si>
    <t>Influence of Pond System on Surface Temperature and Urban Cooling</t>
  </si>
  <si>
    <t>Ecohydrology</t>
  </si>
  <si>
    <t>e2760</t>
  </si>
  <si>
    <t>10.1002/eco.2760</t>
  </si>
  <si>
    <t>https://www.scopus.com/inward/record.uri?eid=2-s2.0-85215554453&amp;doi=10.1002%2feco.2760&amp;partnerID=40&amp;md5=b8f643a59e9edb2378121d30dc5cd66c</t>
  </si>
  <si>
    <t>Article</t>
  </si>
  <si>
    <t>2-s2.0-85215554453</t>
  </si>
  <si>
    <t>Herb W.R.; Mohseni O.; Stefan H.G.</t>
  </si>
  <si>
    <t>Herb, William R. (36870888400); Mohseni, Omid (6602931936); Stefan, Heinz G. (7201596294)</t>
  </si>
  <si>
    <t>36870888400; 6602931936; 7201596294</t>
  </si>
  <si>
    <t>Simulation of temperature mitigation by a stormwater detention pond</t>
  </si>
  <si>
    <t>Journal of the American Water Resources Association</t>
  </si>
  <si>
    <t>10.1111/j.1752-1688.2009.00354.x</t>
  </si>
  <si>
    <t>https://www.scopus.com/inward/record.uri?eid=2-s2.0-70350774082&amp;doi=10.1111%2fj.1752-1688.2009.00354.x&amp;partnerID=40&amp;md5=06806d82c53c86a5fba72a90697fb3f2</t>
  </si>
  <si>
    <t>All Open Access; Bronze Open Access</t>
  </si>
  <si>
    <t>2-s2.0-70350774082</t>
  </si>
  <si>
    <t>Cathcart T.P.; Wheaton F.W.</t>
  </si>
  <si>
    <t>Cathcart, Thomas P. (6603008945); Wheaton, Frederick W. (35607798000)</t>
  </si>
  <si>
    <t>6603008945; 35607798000</t>
  </si>
  <si>
    <t>Modeling temperature distribution in freshwater ponds</t>
  </si>
  <si>
    <t>Aquacultural Engineering</t>
  </si>
  <si>
    <t>10.1016/0144-8609(87)90021-5</t>
  </si>
  <si>
    <t>https://www.scopus.com/inward/record.uri?eid=2-s2.0-0023173840&amp;doi=10.1016%2f0144-8609%2887%2990021-5&amp;partnerID=40&amp;md5=abae4455413711b51ccd0a8eeb9ce250</t>
  </si>
  <si>
    <t>2-s2.0-0023173840</t>
  </si>
  <si>
    <r>
      <t xml:space="preserve">Ryan, P. J., Harleman, D. R., &amp; Stolzenbach, K. D. (1974). Surface heat loss from cooling ponds. </t>
    </r>
    <r>
      <rPr>
        <i/>
        <sz val="11"/>
        <color rgb="FF000000"/>
        <rFont val="Aptos Narrow"/>
        <family val="2"/>
      </rPr>
      <t>Water resources research</t>
    </r>
    <r>
      <rPr>
        <sz val="11"/>
        <color rgb="FF000000"/>
        <rFont val="Aptos Narrow"/>
        <family val="2"/>
      </rPr>
      <t xml:space="preserve">, </t>
    </r>
    <r>
      <rPr>
        <i/>
        <sz val="11"/>
        <color rgb="FF000000"/>
        <rFont val="Aptos Narrow"/>
        <family val="2"/>
      </rPr>
      <t>10</t>
    </r>
    <r>
      <rPr>
        <sz val="11"/>
        <color rgb="FF000000"/>
        <rFont val="Aptos Narrow"/>
        <family val="2"/>
      </rPr>
      <t>(5), 930-938.</t>
    </r>
  </si>
  <si>
    <r>
      <t xml:space="preserve">Lamoureux, J., Tiersch, T. R., &amp; Hall, S. G. (2006). Pond heat and temperature regulation (PHATR): Modeling temperature and energy balances in earthen outdoor aquaculture ponds. </t>
    </r>
    <r>
      <rPr>
        <i/>
        <sz val="11"/>
        <color rgb="FF000000"/>
        <rFont val="Aptos Narrow"/>
        <family val="2"/>
      </rPr>
      <t>Aquacultural engineering</t>
    </r>
    <r>
      <rPr>
        <sz val="11"/>
        <color rgb="FF000000"/>
        <rFont val="Aptos Narrow"/>
        <family val="2"/>
      </rPr>
      <t xml:space="preserve">, </t>
    </r>
    <r>
      <rPr>
        <i/>
        <sz val="11"/>
        <color rgb="FF000000"/>
        <rFont val="Aptos Narrow"/>
        <family val="2"/>
      </rPr>
      <t>34</t>
    </r>
    <r>
      <rPr>
        <sz val="11"/>
        <color rgb="FF000000"/>
        <rFont val="Aptos Narrow"/>
        <family val="2"/>
      </rPr>
      <t>(2), 103-116.</t>
    </r>
  </si>
  <si>
    <r>
      <t xml:space="preserve">Hicks, B. B., Wesely, M. L., &amp; Sheih, C. M. (1977). A study of heat transfer processes above a cooling pond. </t>
    </r>
    <r>
      <rPr>
        <i/>
        <sz val="11"/>
        <color rgb="FF000000"/>
        <rFont val="Aptos Narrow"/>
        <family val="2"/>
      </rPr>
      <t>Water Resources Research</t>
    </r>
    <r>
      <rPr>
        <sz val="11"/>
        <color rgb="FF000000"/>
        <rFont val="Aptos Narrow"/>
        <family val="2"/>
      </rPr>
      <t xml:space="preserve">, </t>
    </r>
    <r>
      <rPr>
        <i/>
        <sz val="11"/>
        <color rgb="FF000000"/>
        <rFont val="Aptos Narrow"/>
        <family val="2"/>
      </rPr>
      <t>13</t>
    </r>
    <r>
      <rPr>
        <sz val="11"/>
        <color rgb="FF000000"/>
        <rFont val="Aptos Narrow"/>
        <family val="2"/>
      </rPr>
      <t>(6), 901-908.</t>
    </r>
  </si>
  <si>
    <t>Ryan, P. J., &amp; Harleman, D. R. (1973). An analytical and experimental study of transient cooling pond behavior.</t>
  </si>
  <si>
    <r>
      <t xml:space="preserve">Tang, R., &amp; Etzion, Y. (2004). On thermal performance of an improved roof pond for cooling buildings. </t>
    </r>
    <r>
      <rPr>
        <i/>
        <sz val="11"/>
        <color rgb="FF000000"/>
        <rFont val="Aptos Narrow"/>
        <family val="2"/>
      </rPr>
      <t>Building and Environment</t>
    </r>
    <r>
      <rPr>
        <sz val="11"/>
        <color rgb="FF000000"/>
        <rFont val="Aptos Narrow"/>
        <family val="2"/>
      </rPr>
      <t xml:space="preserve">, </t>
    </r>
    <r>
      <rPr>
        <i/>
        <sz val="11"/>
        <color rgb="FF000000"/>
        <rFont val="Aptos Narrow"/>
        <family val="2"/>
      </rPr>
      <t>39</t>
    </r>
    <r>
      <rPr>
        <sz val="11"/>
        <color rgb="FF000000"/>
        <rFont val="Aptos Narrow"/>
        <family val="2"/>
      </rPr>
      <t>(2), 201-209.</t>
    </r>
  </si>
  <si>
    <r>
      <t xml:space="preserve">Solcerova, A., Van de Ven, F., &amp; Van de Giesen, N. (2019). Nighttime cooling of an urban pond. </t>
    </r>
    <r>
      <rPr>
        <i/>
        <sz val="11"/>
        <color rgb="FF000000"/>
        <rFont val="Aptos Narrow"/>
        <family val="2"/>
      </rPr>
      <t>Frontiers in earth science</t>
    </r>
    <r>
      <rPr>
        <sz val="11"/>
        <color rgb="FF000000"/>
        <rFont val="Aptos Narrow"/>
        <family val="2"/>
      </rPr>
      <t xml:space="preserve">, </t>
    </r>
    <r>
      <rPr>
        <i/>
        <sz val="11"/>
        <color rgb="FF000000"/>
        <rFont val="Aptos Narrow"/>
        <family val="2"/>
      </rPr>
      <t>7</t>
    </r>
    <r>
      <rPr>
        <sz val="11"/>
        <color rgb="FF000000"/>
        <rFont val="Aptos Narrow"/>
        <family val="2"/>
      </rPr>
      <t>, 156.</t>
    </r>
  </si>
  <si>
    <t>Tichenor, B. A., &amp; Christianson, A. G. (1971). Cooling pond temperature versus size and water loss. Journal of the Power Division, 97(3), 589-596.</t>
  </si>
  <si>
    <r>
      <t xml:space="preserve">Wesely, M. L. (1979). Heat transfer through the thermal skin of a cooling pond with waves. </t>
    </r>
    <r>
      <rPr>
        <i/>
        <sz val="11"/>
        <color rgb="FF000000"/>
        <rFont val="Aptos Narrow"/>
        <family val="2"/>
      </rPr>
      <t>Journal of Geophysical Research: Oceans</t>
    </r>
    <r>
      <rPr>
        <sz val="11"/>
        <color rgb="FF000000"/>
        <rFont val="Aptos Narrow"/>
        <family val="2"/>
      </rPr>
      <t xml:space="preserve">, </t>
    </r>
    <r>
      <rPr>
        <i/>
        <sz val="11"/>
        <color rgb="FF000000"/>
        <rFont val="Aptos Narrow"/>
        <family val="2"/>
      </rPr>
      <t>84</t>
    </r>
    <r>
      <rPr>
        <sz val="11"/>
        <color rgb="FF000000"/>
        <rFont val="Aptos Narrow"/>
        <family val="2"/>
      </rPr>
      <t>(C7), 3696-3700.</t>
    </r>
  </si>
  <si>
    <r>
      <t xml:space="preserve">Yeh, G. T., Verma, A. P., &amp; Lai, F. H. (1973). Unsteady temperature prediction for cooling ponds. </t>
    </r>
    <r>
      <rPr>
        <i/>
        <sz val="11"/>
        <color rgb="FF000000"/>
        <rFont val="Aptos Narrow"/>
        <family val="2"/>
      </rPr>
      <t>Water Resources Research</t>
    </r>
    <r>
      <rPr>
        <sz val="11"/>
        <color rgb="FF000000"/>
        <rFont val="Aptos Narrow"/>
        <family val="2"/>
      </rPr>
      <t xml:space="preserve">, </t>
    </r>
    <r>
      <rPr>
        <i/>
        <sz val="11"/>
        <color rgb="FF000000"/>
        <rFont val="Aptos Narrow"/>
        <family val="2"/>
      </rPr>
      <t>9</t>
    </r>
    <r>
      <rPr>
        <sz val="11"/>
        <color rgb="FF000000"/>
        <rFont val="Aptos Narrow"/>
        <family val="2"/>
      </rPr>
      <t>(6), 1555-1563.</t>
    </r>
  </si>
  <si>
    <r>
      <t xml:space="preserve">Spanaki, A., Tsoutsos, T., &amp; Kolokotsa, D. (2011). On the selection and design of the proper roof pond variant for passive cooling purposes. </t>
    </r>
    <r>
      <rPr>
        <i/>
        <sz val="11"/>
        <color rgb="FF000000"/>
        <rFont val="Aptos Narrow"/>
        <family val="2"/>
      </rPr>
      <t>Renewable and Sustainable Energy Reviews</t>
    </r>
    <r>
      <rPr>
        <sz val="11"/>
        <color rgb="FF000000"/>
        <rFont val="Aptos Narrow"/>
        <family val="2"/>
      </rPr>
      <t xml:space="preserve">, </t>
    </r>
    <r>
      <rPr>
        <i/>
        <sz val="11"/>
        <color rgb="FF000000"/>
        <rFont val="Aptos Narrow"/>
        <family val="2"/>
      </rPr>
      <t>15</t>
    </r>
    <r>
      <rPr>
        <sz val="11"/>
        <color rgb="FF000000"/>
        <rFont val="Aptos Narrow"/>
        <family val="2"/>
      </rPr>
      <t>(8), 3523-3533.</t>
    </r>
  </si>
  <si>
    <t>Zhang, J., Gou, Z., Zhang, F., &amp; Yu, R. (2023). The tree cooling pond effect and its influential factors: A pilot study in Gold C</t>
  </si>
  <si>
    <r>
      <t xml:space="preserve">Enai, M., Kawaguchi, Y., Nishizawa, S., &amp; Maeda, H. (1999, January). Control of the humidity and temperature in an atrium by cooling the surface of a pond in the atrium. In </t>
    </r>
    <r>
      <rPr>
        <i/>
        <sz val="11"/>
        <color rgb="FF000000"/>
        <rFont val="Aptos Narrow"/>
        <family val="2"/>
      </rPr>
      <t>IBPSA Conference Proceedings</t>
    </r>
    <r>
      <rPr>
        <sz val="11"/>
        <color rgb="FF000000"/>
        <rFont val="Aptos Narrow"/>
        <family val="2"/>
      </rPr>
      <t>.</t>
    </r>
  </si>
  <si>
    <r>
      <t xml:space="preserve">Ham, J., Toran, L., &amp; Cruz, J. (2006). Effect of upstream ponds on stream temperature. </t>
    </r>
    <r>
      <rPr>
        <i/>
        <sz val="11"/>
        <color rgb="FF000000"/>
        <rFont val="Aptos Narrow"/>
        <family val="2"/>
      </rPr>
      <t>Environmental Geology</t>
    </r>
    <r>
      <rPr>
        <sz val="11"/>
        <color rgb="FF000000"/>
        <rFont val="Aptos Narrow"/>
        <family val="2"/>
      </rPr>
      <t xml:space="preserve">, </t>
    </r>
    <r>
      <rPr>
        <i/>
        <sz val="11"/>
        <color rgb="FF000000"/>
        <rFont val="Aptos Narrow"/>
        <family val="2"/>
      </rPr>
      <t>50</t>
    </r>
    <r>
      <rPr>
        <sz val="11"/>
        <color rgb="FF000000"/>
        <rFont val="Aptos Narrow"/>
        <family val="2"/>
      </rPr>
      <t>, 55-61.</t>
    </r>
  </si>
  <si>
    <r>
      <t xml:space="preserve">Pearlmutter, D., &amp; Berliner, P. (2017). Experiments with a ‘psychrometric’roof pond system for passive cooling in hot-arid regions. </t>
    </r>
    <r>
      <rPr>
        <i/>
        <sz val="11"/>
        <color rgb="FF000000"/>
        <rFont val="Aptos Narrow"/>
        <family val="2"/>
      </rPr>
      <t>Energy and Buildings</t>
    </r>
    <r>
      <rPr>
        <sz val="11"/>
        <color rgb="FF000000"/>
        <rFont val="Aptos Narrow"/>
        <family val="2"/>
      </rPr>
      <t xml:space="preserve">, </t>
    </r>
    <r>
      <rPr>
        <i/>
        <sz val="11"/>
        <color rgb="FF000000"/>
        <rFont val="Aptos Narrow"/>
        <family val="2"/>
      </rPr>
      <t>144</t>
    </r>
    <r>
      <rPr>
        <sz val="11"/>
        <color rgb="FF000000"/>
        <rFont val="Aptos Narrow"/>
        <family val="2"/>
      </rPr>
      <t>, 295-302.</t>
    </r>
  </si>
  <si>
    <r>
      <t xml:space="preserve">Stajkowski, S., Laleva, A., Farghaly, H., Bonakdari, H., &amp; Gharabaghi, B. (2021). Modelling dry-weather temperature profiles in urban stormwater management ponds. </t>
    </r>
    <r>
      <rPr>
        <i/>
        <sz val="11"/>
        <color rgb="FF000000"/>
        <rFont val="Aptos Narrow"/>
        <family val="2"/>
      </rPr>
      <t>Journal of Hydrology</t>
    </r>
    <r>
      <rPr>
        <sz val="11"/>
        <color rgb="FF000000"/>
        <rFont val="Aptos Narrow"/>
        <family val="2"/>
      </rPr>
      <t xml:space="preserve">, </t>
    </r>
    <r>
      <rPr>
        <i/>
        <sz val="11"/>
        <color rgb="FF000000"/>
        <rFont val="Aptos Narrow"/>
        <family val="2"/>
      </rPr>
      <t>598</t>
    </r>
    <r>
      <rPr>
        <sz val="11"/>
        <color rgb="FF000000"/>
        <rFont val="Aptos Narrow"/>
        <family val="2"/>
      </rPr>
      <t>, 126206.</t>
    </r>
  </si>
  <si>
    <r>
      <t xml:space="preserve">Folkard, A. M., Sherborne, A. J., &amp; Coates, M. J. (2007). Turbulence and stratification in Priest Pot, a productive pond in a sheltered environment. </t>
    </r>
    <r>
      <rPr>
        <i/>
        <sz val="11"/>
        <color rgb="FF000000"/>
        <rFont val="Aptos Narrow"/>
        <family val="2"/>
      </rPr>
      <t>Limnology</t>
    </r>
    <r>
      <rPr>
        <sz val="11"/>
        <color rgb="FF000000"/>
        <rFont val="Aptos Narrow"/>
        <family val="2"/>
      </rPr>
      <t xml:space="preserve">, </t>
    </r>
    <r>
      <rPr>
        <i/>
        <sz val="11"/>
        <color rgb="FF000000"/>
        <rFont val="Aptos Narrow"/>
        <family val="2"/>
      </rPr>
      <t>8</t>
    </r>
    <r>
      <rPr>
        <sz val="11"/>
        <color rgb="FF000000"/>
        <rFont val="Aptos Narrow"/>
        <family val="2"/>
      </rPr>
      <t>, 113-120.</t>
    </r>
  </si>
  <si>
    <r>
      <t xml:space="preserve">Givoni, B. (2011). Indoor temperature reduction by passive cooling systems. </t>
    </r>
    <r>
      <rPr>
        <i/>
        <sz val="11"/>
        <color rgb="FF000000"/>
        <rFont val="Aptos Narrow"/>
        <family val="2"/>
      </rPr>
      <t>Solar Energy</t>
    </r>
    <r>
      <rPr>
        <sz val="11"/>
        <color rgb="FF000000"/>
        <rFont val="Aptos Narrow"/>
        <family val="2"/>
      </rPr>
      <t xml:space="preserve">, </t>
    </r>
    <r>
      <rPr>
        <i/>
        <sz val="11"/>
        <color rgb="FF000000"/>
        <rFont val="Aptos Narrow"/>
        <family val="2"/>
      </rPr>
      <t>85</t>
    </r>
    <r>
      <rPr>
        <sz val="11"/>
        <color rgb="FF000000"/>
        <rFont val="Aptos Narrow"/>
        <family val="2"/>
      </rPr>
      <t>(8), 1692-1726.</t>
    </r>
  </si>
  <si>
    <r>
      <t xml:space="preserve">Yao, L., Sailor, D. J., Zhang, X., Wang, J., Zhao, L., &amp; Yang, X. (2023). Diurnal pattern and driving mechanisms of the thermal effects of an urban pond. </t>
    </r>
    <r>
      <rPr>
        <i/>
        <sz val="11"/>
        <color rgb="FF000000"/>
        <rFont val="Aptos Narrow"/>
        <family val="2"/>
      </rPr>
      <t>Sustainable Cities and Society</t>
    </r>
    <r>
      <rPr>
        <sz val="11"/>
        <color rgb="FF000000"/>
        <rFont val="Aptos Narrow"/>
        <family val="2"/>
      </rPr>
      <t xml:space="preserve">, </t>
    </r>
    <r>
      <rPr>
        <i/>
        <sz val="11"/>
        <color rgb="FF000000"/>
        <rFont val="Aptos Narrow"/>
        <family val="2"/>
      </rPr>
      <t>91</t>
    </r>
    <r>
      <rPr>
        <sz val="11"/>
        <color rgb="FF000000"/>
        <rFont val="Aptos Narrow"/>
        <family val="2"/>
      </rPr>
      <t>, 104407.</t>
    </r>
  </si>
  <si>
    <r>
      <t xml:space="preserve">Giang, N. B., &amp; Huong, D. T. V. (2023, September). The Cooling Effects of Water Body System on Land Surface Temperature in Vicinity Regions: A Case Study in Hue City, Vietnam. In </t>
    </r>
    <r>
      <rPr>
        <i/>
        <sz val="11"/>
        <color rgb="FF000000"/>
        <rFont val="Aptos Narrow"/>
        <family val="2"/>
      </rPr>
      <t>International Conference on “Global Changes and Sustainable Development in Asian Emerging Market Economies</t>
    </r>
    <r>
      <rPr>
        <sz val="11"/>
        <color rgb="FF000000"/>
        <rFont val="Aptos Narrow"/>
        <family val="2"/>
      </rPr>
      <t xml:space="preserve"> (pp. 645-664). Cham: Springer Nature Switzerland.</t>
    </r>
  </si>
  <si>
    <r>
      <t xml:space="preserve">Jirka, G. H., &amp; Watanabe, M. (1980). Thermal structure of cooling ponds. </t>
    </r>
    <r>
      <rPr>
        <i/>
        <sz val="11"/>
        <color rgb="FF000000"/>
        <rFont val="Aptos Narrow"/>
        <family val="2"/>
      </rPr>
      <t>Journal of the Hydraulics Division</t>
    </r>
    <r>
      <rPr>
        <sz val="11"/>
        <color rgb="FF000000"/>
        <rFont val="Aptos Narrow"/>
        <family val="2"/>
      </rPr>
      <t xml:space="preserve">, </t>
    </r>
    <r>
      <rPr>
        <i/>
        <sz val="11"/>
        <color rgb="FF000000"/>
        <rFont val="Aptos Narrow"/>
        <family val="2"/>
      </rPr>
      <t>106</t>
    </r>
    <r>
      <rPr>
        <sz val="11"/>
        <color rgb="FF000000"/>
        <rFont val="Aptos Narrow"/>
        <family val="2"/>
      </rPr>
      <t>(5), 701-715.</t>
    </r>
  </si>
  <si>
    <r>
      <t xml:space="preserve">Spanaki, A. (2007). Comparative studies on different type of roof ponds for cooling purposes: literature review. </t>
    </r>
    <r>
      <rPr>
        <i/>
        <sz val="11"/>
        <color rgb="FF000000"/>
        <rFont val="Aptos Narrow"/>
        <family val="2"/>
      </rPr>
      <t>Greece: National Technical University of Athens</t>
    </r>
    <r>
      <rPr>
        <sz val="11"/>
        <color rgb="FF000000"/>
        <rFont val="Aptos Narrow"/>
        <family val="2"/>
      </rPr>
      <t>, 1009-1013.</t>
    </r>
  </si>
  <si>
    <r>
      <t xml:space="preserve">Almodovar, J. M., &amp; La Roche, P. (2019). Roof ponds combined with a water-to-air heat exchanger as a passive cooling system: Experimental comparison of two system variants. </t>
    </r>
    <r>
      <rPr>
        <i/>
        <sz val="11"/>
        <color rgb="FF000000"/>
        <rFont val="Aptos Narrow"/>
        <family val="2"/>
      </rPr>
      <t>Renewable Energy</t>
    </r>
    <r>
      <rPr>
        <sz val="11"/>
        <color rgb="FF000000"/>
        <rFont val="Aptos Narrow"/>
        <family val="2"/>
      </rPr>
      <t xml:space="preserve">, </t>
    </r>
    <r>
      <rPr>
        <i/>
        <sz val="11"/>
        <color rgb="FF000000"/>
        <rFont val="Aptos Narrow"/>
        <family val="2"/>
      </rPr>
      <t>141</t>
    </r>
    <r>
      <rPr>
        <sz val="11"/>
        <color rgb="FF000000"/>
        <rFont val="Aptos Narrow"/>
        <family val="2"/>
      </rPr>
      <t>, 195-208.</t>
    </r>
  </si>
  <si>
    <r>
      <t xml:space="preserve">Thackston, E. L., &amp; Parker, F. L. (1971). </t>
    </r>
    <r>
      <rPr>
        <i/>
        <sz val="11"/>
        <color rgb="FF000000"/>
        <rFont val="Aptos Narrow"/>
        <family val="2"/>
      </rPr>
      <t>Effect of geographical location on cooling pond requirements and performance</t>
    </r>
    <r>
      <rPr>
        <sz val="11"/>
        <color rgb="FF000000"/>
        <rFont val="Aptos Narrow"/>
        <family val="2"/>
      </rPr>
      <t xml:space="preserve"> (Vol. 16130). Environmental Protection Agency, Water Quality Office.</t>
    </r>
  </si>
  <si>
    <t>Jaiswal N.; Deb S.K.; Panda S.K.; Mandal A.K.; Khan A.W.; Kishtawal C.M.</t>
  </si>
  <si>
    <t>Jaiswal, Neeru (12445663700); Deb, Sanjib K (16678181200); Panda, Sambit K (57210537611); Mandal, Anup K (57217042152); Khan, Aman W (57190583907); Kishtawal, C.M. (6603955973)</t>
  </si>
  <si>
    <t>12445663700; 16678181200; 57210537611; 57217042152; 57190583907; 6603955973</t>
  </si>
  <si>
    <t>Estimation of intra-urban thermal variability in Ahmedabad city using moving vehicle transects</t>
  </si>
  <si>
    <t>Journal of Earth System Science</t>
  </si>
  <si>
    <t>10.1007/s12040-023-02063-8</t>
  </si>
  <si>
    <t>https://www.scopus.com/inward/record.uri?eid=2-s2.0-85149908123&amp;doi=10.1007%2fs12040-023-02063-8&amp;partnerID=40&amp;md5=9069b74613689abb63b1be3a0568e289</t>
  </si>
  <si>
    <t>2-s2.0-85149908123</t>
  </si>
  <si>
    <t>Krüger E.; Fernandes L.; Mutsafi-Haller W.; Erell E.</t>
  </si>
  <si>
    <t>Krüger, Eduardo (56244643600); Fernandes, Leandro (55327260200); Mutsafi-Haller, Wolfgang (57218476020); Erell, Evyatar (6604060954)</t>
  </si>
  <si>
    <t>56244643600; 55327260200; 57218476020; 6604060954</t>
  </si>
  <si>
    <t>Comparing occupant thermal perception of air conditioning and ceiling-mounted radiant cooling panels coupled to a roof pond</t>
  </si>
  <si>
    <t>Proceedings of 10th Windsor Conference: Rethinking Comfort</t>
  </si>
  <si>
    <t>https://www.scopus.com/inward/record.uri?eid=2-s2.0-85089270284&amp;partnerID=40&amp;md5=dae911b4caf272c05c9b83bca6267b58</t>
  </si>
  <si>
    <t>2-s2.0-85089270284</t>
  </si>
  <si>
    <t>Casterline M.V.; Salvaggio C.; Garrett A.J.; Bartlett B.D.; Faulring J.W.; Salvaggio P.S.</t>
  </si>
  <si>
    <t>Casterline, May V. (36604085200); Salvaggio, Carl (57203299445); Garrett, Alfred J. (7006787674); Bartlett, Brent D. (15055350400); Faulring, Jason W. (6505529633); Salvaggio, Philip S. (34771881400)</t>
  </si>
  <si>
    <t>36604085200; 57203299445; 7006787674; 15055350400; 6505529633; 34771881400</t>
  </si>
  <si>
    <t>Improved temperature retrieval methods for the validation of a hydrodynamic simulation of a partially frozen power plant cooling lake</t>
  </si>
  <si>
    <t>Proceedings of SPIE - The International Society for Optical Engineering</t>
  </si>
  <si>
    <t>10.1117/12.850280</t>
  </si>
  <si>
    <t>https://www.scopus.com/inward/record.uri?eid=2-s2.0-79953716279&amp;doi=10.1117%2f12.850280&amp;partnerID=40&amp;md5=48fbbb7ee387ee1852dd22f774c1d0e3</t>
  </si>
  <si>
    <t>2-s2.0-79953716279</t>
  </si>
  <si>
    <t>Sangkertadi S.; Syafriny R.; Wuisang C.E.V.</t>
  </si>
  <si>
    <t>Sangkertadi, Sangkertadi (57194163775); Syafriny, Reny (57194164213); Wuisang, Cynthia E. V. (57204357070)</t>
  </si>
  <si>
    <t>57194163775; 57194164213; 57204357070</t>
  </si>
  <si>
    <t>Thermophysical Properties of Landscape Material and Its Effect on Daytime Outdoor Thermal Comfort in Tropical City</t>
  </si>
  <si>
    <t>Advances in Science, Technology and Innovation</t>
  </si>
  <si>
    <t>10.1007/978-3-031-20182-0_10</t>
  </si>
  <si>
    <t>https://www.scopus.com/inward/record.uri?eid=2-s2.0-85152549065&amp;doi=10.1007%2f978-3-031-20182-0_10&amp;partnerID=40&amp;md5=01b27c7af49dc1b6ed233cb23e62afde</t>
  </si>
  <si>
    <t>2-s2.0-85152549065</t>
  </si>
  <si>
    <t>Ponti M.; Casselli C.; Abbiati M.</t>
  </si>
  <si>
    <t>Ponti, Massimo (6604059267); Casselli, Chiara (35772500400); Abbiati, Marco (6602994861)</t>
  </si>
  <si>
    <t>6604059267; 35772500400; 6602994861</t>
  </si>
  <si>
    <t>Anthropogenic disturbance and spatial heterogeneity of macrobenthic invertebrate assemblages in coastal lagoons: The study case of Pialassa Baiona (northern Adriatic Sea)</t>
  </si>
  <si>
    <t>Helgoland Marine Research</t>
  </si>
  <si>
    <t>10.1007/s10152-010-0197-0</t>
  </si>
  <si>
    <t>https://www.scopus.com/inward/record.uri?eid=2-s2.0-79951556332&amp;doi=10.1007%2fs10152-010-0197-0&amp;partnerID=40&amp;md5=fcb71423eecd531c8ed8634cb712288e</t>
  </si>
  <si>
    <t>2-s2.0-79951556332</t>
  </si>
  <si>
    <t>Syafii N.I.; Ichinose M.; Kumakura E.; Jusuf S.K.; Hien W.N.; Chigusa K.; Ashie Y.</t>
  </si>
  <si>
    <t>Syafii, Nedyomukti Imam (36646928800); Ichinose, Masayuki (7102219265); Kumakura, Eiko (55319339200); Jusuf, Steve Kardinal (55945998700); Hien, Wong Nyuk (7202836613); Chigusa, Kohei (57193322596); Ashie, Yasunobu (6602736210)</t>
  </si>
  <si>
    <t>36646928800; 7102219265; 55319339200; 55945998700; 7202836613; 57193322596; 6602736210</t>
  </si>
  <si>
    <t>Assessment of the Water Pond Cooling Effect on Urban Microclimate: A Parametric Study with Numerical Modeling</t>
  </si>
  <si>
    <t>International Journal of Technology</t>
  </si>
  <si>
    <t>10.14716/ijtech.v12i3.4126</t>
  </si>
  <si>
    <t>https://www.scopus.com/inward/record.uri?eid=2-s2.0-85111327247&amp;doi=10.14716%2fijtech.v12i3.4126&amp;partnerID=40&amp;md5=12aa16a1530e881d241ffe87a8ef18a5</t>
  </si>
  <si>
    <t>All Open Access; Gold Open Access</t>
  </si>
  <si>
    <t>2-s2.0-85111327247</t>
  </si>
  <si>
    <t>Li Y.L.; Tsutsumi J.-I.G.; Nakamatsu R.</t>
  </si>
  <si>
    <t>Li, Yi Ling (56341603900); Tsutsumi, Jun-Ichiro Giorgos (57203255804); Nakamatsu, Ryo (36502493800)</t>
  </si>
  <si>
    <t>56341603900; 57203255804; 36502493800</t>
  </si>
  <si>
    <t>Field tests of 4 types of cool roof system to reduce cooling load</t>
  </si>
  <si>
    <t>Advanced Materials Research</t>
  </si>
  <si>
    <t>1008-1009</t>
  </si>
  <si>
    <t>10.4028/www.scientific.net/AMR.1008-1009.1336</t>
  </si>
  <si>
    <t>https://www.scopus.com/inward/record.uri?eid=2-s2.0-84906666503&amp;doi=10.4028%2fwww.scientific.net%2fAMR.1008-1009.1336&amp;partnerID=40&amp;md5=8ec9299954bd9d88d3edf9e92f5054b7</t>
  </si>
  <si>
    <t>2-s2.0-84906666503</t>
  </si>
  <si>
    <t>Liu Y.; Gao Y.; Shi D.; Zhuang C.; Lin Z.; Hao Z.</t>
  </si>
  <si>
    <t>Liu, Ying (57943633900); Gao, Yafeng (26637428600); Shi, Dachuan (57195999662); Zhuang, Chaoqun (57200534560); Lin, Zhang (55664254300); Hao, Zhongyu (57219536299)</t>
  </si>
  <si>
    <t>57943633900; 26637428600; 57195999662; 57200534560; 55664254300; 57219536299</t>
  </si>
  <si>
    <t>Modelling Residential Outdoor Thermal Sensation in Hot Summer Cities: A Case Study in Chongqing, China</t>
  </si>
  <si>
    <t>Buildings</t>
  </si>
  <si>
    <t>10.3390/buildings12101564</t>
  </si>
  <si>
    <t>https://www.scopus.com/inward/record.uri?eid=2-s2.0-85140759995&amp;doi=10.3390%2fbuildings12101564&amp;partnerID=40&amp;md5=51e18005227f07393cee1c33111f3dc3</t>
  </si>
  <si>
    <t>2-s2.0-85140759995</t>
  </si>
  <si>
    <t>Maestre-Valero J.F.; Martin-Gorriz B.; Martínez-Alvarez V.</t>
  </si>
  <si>
    <t>Maestre-Valero, J.F. (24332786800); Martin-Gorriz, B. (57201813576); Martínez-Alvarez, V. (11839903900)</t>
  </si>
  <si>
    <t>24332786800; 57201813576; 11839903900</t>
  </si>
  <si>
    <t>Dew condensation on different natural and artificial passive surfaces in a semiarid climate</t>
  </si>
  <si>
    <t>Journal of Arid Environments</t>
  </si>
  <si>
    <t>10.1016/j.jaridenv.2015.02.002</t>
  </si>
  <si>
    <t>https://www.scopus.com/inward/record.uri?eid=2-s2.0-84922601401&amp;doi=10.1016%2fj.jaridenv.2015.02.002&amp;partnerID=40&amp;md5=6d1b57acaaa10e253268936653e0d1eb</t>
  </si>
  <si>
    <t>2-s2.0-84922601401</t>
  </si>
  <si>
    <t>MacIntyre S.; Crowe A.T.; Cortés A.; Arneborg L.</t>
  </si>
  <si>
    <t>MacIntyre, Sally (7004462881); Crowe, Adam. T. (57203203240); Cortés, Alicia (39862799800); Arneborg, Lars (6602318479)</t>
  </si>
  <si>
    <t>7004462881; 57203203240; 39862799800; 6602318479</t>
  </si>
  <si>
    <t>Turbulence in a small arctic pond</t>
  </si>
  <si>
    <t>10.1002/lno.10941</t>
  </si>
  <si>
    <t>https://www.scopus.com/inward/record.uri?eid=2-s2.0-85050944235&amp;doi=10.1002%2flno.10941&amp;partnerID=40&amp;md5=41b84d087a85a22f852eede5947d1ac9</t>
  </si>
  <si>
    <t>All Open Access; Hybrid Gold Open Access</t>
  </si>
  <si>
    <t>2-s2.0-85050944235</t>
  </si>
  <si>
    <t>Toparlar Y.; Blocken B.; Janssen W.; Van Hooff T.; Montazeri H.; Timmermans H.</t>
  </si>
  <si>
    <t>Toparlar, Yasin (55907445600); Blocken, Bert (55906535400); Janssen, Wendy (54410560200); Van Hooff, Twan (24342245600); Montazeri, Hamid (23989040400); Timmermans, Harry (7006171625)</t>
  </si>
  <si>
    <t>55907445600; 55906535400; 54410560200; 24342245600; 23989040400; 7006171625</t>
  </si>
  <si>
    <t>Numerical study of evaporative cooling as a climate change adaptation measure at the building and street scale: Case study for bergpolder zuid</t>
  </si>
  <si>
    <t>Proceedings of BS 2013: 13th Conference of the International Building Performance Simulation Association</t>
  </si>
  <si>
    <t>https://www.scopus.com/inward/record.uri?eid=2-s2.0-84886696886&amp;partnerID=40&amp;md5=c17b8ae1bbf97f885345d1dbbdf287e3</t>
  </si>
  <si>
    <t>2-s2.0-84886696886</t>
  </si>
  <si>
    <t>Menteş Y.; Yilmaz S.</t>
  </si>
  <si>
    <t>Menteş, Yaşar (57231516300); Yilmaz, Sevgi (7102264782)</t>
  </si>
  <si>
    <t>57231516300; 7102264782</t>
  </si>
  <si>
    <t>Effect of Water Surfaces on Urban Heat Island: A Case Study in the City of Elazığ, Türkiye</t>
  </si>
  <si>
    <t>10.1007/978-3-031-76096-9_4</t>
  </si>
  <si>
    <t>https://www.scopus.com/inward/record.uri?eid=2-s2.0-105000782032&amp;doi=10.1007%2f978-3-031-76096-9_4&amp;partnerID=40&amp;md5=62469be2210493681ba58087158ab9f6</t>
  </si>
  <si>
    <t>2-s2.0-105000782032</t>
  </si>
  <si>
    <t>Hou C.; Li F.; He B.; Ma P.; Song W.; Zhao J.</t>
  </si>
  <si>
    <t>Hou, Chunhua (57216362960); Li, Fuping (55494512300); He, Baojie (55845317100); Ma, Pengkun (56973258500); Song, Wen (57215665874); Zhao, Jingjing (58044945800)</t>
  </si>
  <si>
    <t>57216362960; 55494512300; 55845317100; 56973258500; 57215665874; 58044945800</t>
  </si>
  <si>
    <t>Influence of surface albedo and vegetation fractional coverage on thermal environment of mining area; [地表反照率和植被覆盖度对矿区热环境的影响]</t>
  </si>
  <si>
    <t>Harbin Gongye Daxue Xuebao/Journal of Harbin Institute of Technology</t>
  </si>
  <si>
    <t>10.11918/202007003</t>
  </si>
  <si>
    <t>https://www.scopus.com/inward/record.uri?eid=2-s2.0-85145772323&amp;doi=10.11918%2f202007003&amp;partnerID=40&amp;md5=ee155af75713b47eb98cf6024cbc7676</t>
  </si>
  <si>
    <t>2-s2.0-85145772323</t>
  </si>
  <si>
    <t>Chowdhury A.; Vanama V.S.K.; Valliappan A.L.</t>
  </si>
  <si>
    <t>Chowdhury, Alisha (57202195901); Vanama, Venkata Sai Krishna (57200983531); Valliappan, A.L. (57190191819)</t>
  </si>
  <si>
    <t>57202195901; 57200983531; 57190191819</t>
  </si>
  <si>
    <t>Examining the effect of the physical characteristics of the urban green &amp; blue spaces in heat mitigation: A case study of Pune</t>
  </si>
  <si>
    <t>38th Asian Conference on Remote Sensing - Space Applications: Touching Human Lives, ACRS 2017</t>
  </si>
  <si>
    <t>2017-October</t>
  </si>
  <si>
    <t>https://www.scopus.com/inward/record.uri?eid=2-s2.0-85047387679&amp;partnerID=40&amp;md5=8ce2a4b8b592dbb6ae09f9276d72e87d</t>
  </si>
  <si>
    <t>2-s2.0-85047387679</t>
  </si>
  <si>
    <t>Richardson C.J.; Flanagan N.E.</t>
  </si>
  <si>
    <t>Richardson, Curtis J. (7402504933); Flanagan, Neal E. (7005108426)</t>
  </si>
  <si>
    <t>7402504933; 7005108426</t>
  </si>
  <si>
    <t>Water quality and wetland vegetation responses to water level variations in a university stormwater reuse reservoir: Nature-based approaches to campus water sustainability</t>
  </si>
  <si>
    <t>10.1016/j.scitotenv.2024.174616</t>
  </si>
  <si>
    <t>https://www.scopus.com/inward/record.uri?eid=2-s2.0-85198755568&amp;doi=10.1016%2fj.scitotenv.2024.174616&amp;partnerID=40&amp;md5=79975080bc928673cc1f31dc23acc044</t>
  </si>
  <si>
    <t>2-s2.0-85198755568</t>
  </si>
  <si>
    <t>Axarli K.; Chatzidimitriou A.</t>
  </si>
  <si>
    <t>Axarli, Kleo (54584831200); Chatzidimitriou, Angeliki (55327281900)</t>
  </si>
  <si>
    <t>54584831200; 55327281900</t>
  </si>
  <si>
    <t>Redesigning urban open spaces based on bioclimatic criteria: Two squares in thessaloniki, Greece</t>
  </si>
  <si>
    <t>Proceedings - 28th International PLEA Conference on Sustainable Architecture + Urban Design: Opportunities, Limits and Needs - Towards an Environmentally Responsible Architecture, PLEA 2012</t>
  </si>
  <si>
    <t>https://www.scopus.com/inward/record.uri?eid=2-s2.0-84886793353&amp;partnerID=40&amp;md5=557d71f8c01361cea14643f7a983d909</t>
  </si>
  <si>
    <t>2-s2.0-84886793353</t>
  </si>
  <si>
    <t>Brodie R.; Chery M.-L.; Habiba U.; Pradhan A.</t>
  </si>
  <si>
    <t>Brodie, Renae (7005369618); Chery, Myrha-Lissa (58107227700); Habiba, Umme (56366663000); Pradhan, Adishri (58107082700)</t>
  </si>
  <si>
    <t>7005369618; 58107227700; 56366663000; 58107082700</t>
  </si>
  <si>
    <t>Rising surface temperatures lead to more frequent and longer burrow retreats in males of the fiddler crab, Minuca pugnax</t>
  </si>
  <si>
    <t>Journal of Thermal Biology</t>
  </si>
  <si>
    <t>10.1016/j.jtherbio.2023.103639</t>
  </si>
  <si>
    <t>https://www.scopus.com/inward/record.uri?eid=2-s2.0-85164292583&amp;doi=10.1016%2fj.jtherbio.2023.103639&amp;partnerID=40&amp;md5=1c4d1e96353397c15d2d324946922da3</t>
  </si>
  <si>
    <t>2-s2.0-85164292583</t>
  </si>
  <si>
    <t>Finkenbinder M.S.; Steinman B.A.; Bird B.W.; Heilman E.C.; Aspey A.R.; Mark S.Z.; Stansell N.D.; Fernandez A.; Halsor S.P.; Abbott M.B.</t>
  </si>
  <si>
    <t>Finkenbinder, Matthew S. (56024010900); Steinman, Byron A. (36651650500); Bird, Broxton W. (10041301900); Heilman, Ellen C. (57407812300); Aspey, Alexandria R. (57407487300); Mark, Samuel Z. (57407487400); Stansell, Nathan D. (10642408900); Fernandez, Alejandro (57217729470); Halsor, Sid P. (6507821187); Abbott, Mark B. (7103086662)</t>
  </si>
  <si>
    <t>56024010900; 36651650500; 10041301900; 57407812300; 57407487300; 57407487400; 10642408900; 57217729470; 6507821187; 7103086662</t>
  </si>
  <si>
    <t>A 5000-year lacustrine sediment oxygen isotope record of late Holocene climate change in Newfoundland, Canada</t>
  </si>
  <si>
    <t>10.1016/j.quascirev.2022.107376</t>
  </si>
  <si>
    <t>https://www.scopus.com/inward/record.uri?eid=2-s2.0-85122615883&amp;doi=10.1016%2fj.quascirev.2022.107376&amp;partnerID=40&amp;md5=e12a003474d6191a239fdea7e260f81c</t>
  </si>
  <si>
    <t>2-s2.0-85122615883</t>
  </si>
  <si>
    <t>Pearlmutter D.; Berliner P.</t>
  </si>
  <si>
    <t>Pearlmutter, David (6701852464); Berliner, Pedro (7003426014)</t>
  </si>
  <si>
    <t>6701852464; 7003426014</t>
  </si>
  <si>
    <t>Experiments with a ‘psychrometric’ roof pond system for passive cooling in hot-arid regions</t>
  </si>
  <si>
    <t>Energy and Buildings</t>
  </si>
  <si>
    <t>10.1016/j.enbuild.2017.03.067</t>
  </si>
  <si>
    <t>https://www.scopus.com/inward/record.uri?eid=2-s2.0-85016818951&amp;doi=10.1016%2fj.enbuild.2017.03.067&amp;partnerID=40&amp;md5=4a94a41c78d9992f012fc859b45dca9a</t>
  </si>
  <si>
    <t>2-s2.0-85016818951</t>
  </si>
  <si>
    <t>Sharma K.V.; Kumar V.; Gautam L.; Choudhary S.; Mathew A.</t>
  </si>
  <si>
    <t>Sharma, Kul Vaibhav (57209419940); Kumar, Vijendra (57197697241); Gautam, Lilesh (57218822391); Choudhary, Sumit (57218706113); Mathew, Aneesh (57155903500)</t>
  </si>
  <si>
    <t>57209419940; 57197697241; 57218822391; 57218706113; 57155903500</t>
  </si>
  <si>
    <t>Geo-physical seasonal deviations of land use, terrain analysis, and water cooling effect on the surface temperature of Pune city</t>
  </si>
  <si>
    <t>Journal of Water and Climate Change</t>
  </si>
  <si>
    <t>10.2166/wcc.2023.432</t>
  </si>
  <si>
    <t>https://www.scopus.com/inward/record.uri?eid=2-s2.0-85181851384&amp;doi=10.2166%2fwcc.2023.432&amp;partnerID=40&amp;md5=12a0d80474f98c49ba52023a940d4699</t>
  </si>
  <si>
    <t>2-s2.0-85181851384</t>
  </si>
  <si>
    <t>Safwat H.M.</t>
  </si>
  <si>
    <t>Safwat, Hesham M. (57213334397)</t>
  </si>
  <si>
    <t>Geothermal heat sink energy scenarios of a district cooling case study vs. ground water source heat pump proposal</t>
  </si>
  <si>
    <t>6th International Conference on Energy Research and Development, ICERD 2016</t>
  </si>
  <si>
    <t>https://www.scopus.com/inward/record.uri?eid=2-s2.0-85093829352&amp;partnerID=40&amp;md5=de63620c25b2c71336b79a36cb3fef75</t>
  </si>
  <si>
    <t>2-s2.0-85093829352</t>
  </si>
  <si>
    <t>Rodríguez-Miret X.; del Carmen Trapote M.; Sigró J.; Vegas-Vilarrúbia T.</t>
  </si>
  <si>
    <t>Rodríguez-Miret, Xènia (58001684300); del Carmen Trapote, Maria (58209064100); Sigró, Javier (15063455900); Vegas-Vilarrúbia, Teresa (6507214754)</t>
  </si>
  <si>
    <t>58001684300; 58209064100; 15063455900; 6507214754</t>
  </si>
  <si>
    <t>Diatom responses to warming, heavy rains and human impact in a Mediterranean lake since the preindustrial period</t>
  </si>
  <si>
    <t>10.1016/j.scitotenv.2023.163685</t>
  </si>
  <si>
    <t>https://www.scopus.com/inward/record.uri?eid=2-s2.0-85154563993&amp;doi=10.1016%2fj.scitotenv.2023.163685&amp;partnerID=40&amp;md5=809a873d62b817a5fb5e41f9dcf19c78</t>
  </si>
  <si>
    <t>2-s2.0-85154563993</t>
  </si>
  <si>
    <t>García-Melgar P.; Guerrero Delgado M.C.; Montero-Gutiérrez P.; Romero García C.; Sánchez Ramos J.; Álvarez Domínguez S.</t>
  </si>
  <si>
    <t>García-Melgar, Paulo (59362736900); Guerrero Delgado, MCarmen (57203035458); Montero-Gutiérrez, Paz (57611575600); Romero García, Cristian (59362467700); Sánchez Ramos, José (57212742313); Álvarez Domínguez, Servando (58955682500)</t>
  </si>
  <si>
    <t>59362736900; 57203035458; 57611575600; 59362467700; 57212742313; 58955682500</t>
  </si>
  <si>
    <t>Nature-based cool pavements for urban overheating mitigation: Experimental proof of concept</t>
  </si>
  <si>
    <t>Building and Environment</t>
  </si>
  <si>
    <t>10.1016/j.buildenv.2024.112184</t>
  </si>
  <si>
    <t>https://www.scopus.com/inward/record.uri?eid=2-s2.0-85206120121&amp;doi=10.1016%2fj.buildenv.2024.112184&amp;partnerID=40&amp;md5=f0ea7f041420fc67e00a8b62e0b9fa5d</t>
  </si>
  <si>
    <t>2-s2.0-85206120121</t>
  </si>
  <si>
    <t>Savel'ev A.S.; Morozova O.G.; Veselkova N.S.</t>
  </si>
  <si>
    <t>Savel'ev, A.S. (57200379293); Morozova, O.G. (57194897681); Veselkova, N.S. (57194898942)</t>
  </si>
  <si>
    <t>57200379293; 57194897681; 57194898942</t>
  </si>
  <si>
    <t>Thermal regime of the pond-cooler surface of Beryozovskaya GRES-1 from MODIS data</t>
  </si>
  <si>
    <t>Sovremennye Problemy Distantsionnogo Zondirovaniya Zemli iz Kosmosa</t>
  </si>
  <si>
    <t>10.21046/2070-7401-2017-14-7-177-189</t>
  </si>
  <si>
    <t>https://www.scopus.com/inward/record.uri?eid=2-s2.0-85041082488&amp;doi=10.21046%2f2070-7401-2017-14-7-177-189&amp;partnerID=40&amp;md5=2d6eb0303013b26bdb3528538549f585</t>
  </si>
  <si>
    <t>2-s2.0-85041082488</t>
  </si>
  <si>
    <t>June to September; rates taken from text in the paragraph above figure 7, rate for ice cover season not listed?; figure 9 shows that deeper parts of the lake had faster warming trends</t>
  </si>
  <si>
    <t>OR, MP</t>
  </si>
  <si>
    <t>Reports of average summer surface water temperature trends (typically averaged across July through September) across lakes globally range between 0.02 and 0.34C year1 for both in situ and remote sensing data (e.g., Carrea et al., 2020; Mason et al., 2016; O’Reilly et al., ; for the rate, I averaged the July August and September (Landsat) values; from the text:  average summer surface water temperature trends (typically averaged across July through September) across lakes globally range between 0.02 and 0.34°C year−1 for both in situ and remote sensing data (e.g., Carrea et al., 2020; Mason et al., 2016; O'Reilly et al., 2015; Pareeth et al., 2017; Piccolroaz et al., 2020; Schneider et al., 2009; Schneider &amp; Hook, 2010).2015; Pareeth et al., 2017; Piccolroaz et al., 2020; Schneider et al., 2009; Schneider &amp; Hook, 2010)</t>
  </si>
  <si>
    <r>
      <rPr>
        <sz val="11"/>
        <color rgb="FF000000"/>
        <rFont val="Aptos Narrow"/>
        <family val="2"/>
      </rPr>
      <t xml:space="preserve">also calculate seasonal trends; Increasing trends from south (Lake Trichonida 0.21 K/decade,) to north (Inarijärvi 0.50 K/decade), and west (Thingvallavatn 0.38 K/decade) to east (Lake Onega 0.76 K/decade. </t>
    </r>
    <r>
      <rPr>
        <sz val="11"/>
        <color rgb="FF3C7D22"/>
        <rFont val="Aptos Narrow"/>
        <family val="2"/>
      </rPr>
      <t>"They talk about the correction methods for the skin to bulk ; difference and that it didn't improve the validation performance: "The method, applied to LSWT, only affects the systematic bias and has no effect on the variance of the error."  "Schneider and Hook  mention elevated summer trends in Northern Europe of up to around 0.8 K/dec"; Demosnstrates relationship by latuitude (fig 11)</t>
    </r>
  </si>
  <si>
    <t>predictor variables = summer mean air temp, solar radiation, near-surface wind speed, ice departure date;  LSWT (0.41 °C decade) and LVWMT (0.32 °C decade−1)   --- Seasonal (summer; Jul-Sep) open water (ice free)</t>
  </si>
  <si>
    <t>Table 4 for all year-to-year configurations; The Mann–Kendall and Sen tests were performed using the modified “mk” R package developed by Patakamuri and O‘Brien;Central Europe, Studzieniczne and Białe Augustowskie</t>
  </si>
  <si>
    <t>MP, CB</t>
  </si>
  <si>
    <t>is this two rows (a day and night estimate) or just a duplicate of the first row?</t>
  </si>
  <si>
    <t>rates are slightly different?</t>
  </si>
  <si>
    <t>MP, MS, OR</t>
  </si>
  <si>
    <t>MS, MP</t>
  </si>
  <si>
    <t>was this reviewed twice? Only one row when I went through</t>
  </si>
  <si>
    <t>Note: different rates are based on different lake type categories; "The summer LSWT trends for specific lakes range from -0.09 to 0.35C per decade."</t>
  </si>
  <si>
    <t>MS, OR</t>
  </si>
  <si>
    <t>double check that this is satellite and in situ</t>
  </si>
  <si>
    <t>used nighttime MODIS estimates, 40% of lakes cooled, trends over longer time period for one lake are also provided (Nam Co); "Lakes present a warming rate of 0.055 °C/yr and cooling rate of −0.053 °C/yr"also "in situ measurements of Nam Co water surface temperature, and MODIS LST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</si>
</sst>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2">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family val="2"/>
    </font>
    <font>
      <sz val="10"/>
      <color rgb="FF222222"/>
      <name val="Arial"/>
      <family val="2"/>
    </font>
    <font>
      <sz val="11"/>
      <color rgb="FF000000"/>
      <name val="Aptos Narrow"/>
      <family val="2"/>
      <scheme val="minor"/>
    </font>
    <font>
      <sz val="11"/>
      <color rgb="FF000000"/>
      <name val="Aptos Narrow"/>
      <family val="2"/>
    </font>
    <font>
      <sz val="11"/>
      <color rgb="FF3C7D22"/>
      <name val="Aptos Narrow"/>
      <family val="2"/>
    </font>
    <font>
      <sz val="11"/>
      <color theme="1"/>
      <name val="Aptos Narrow"/>
      <family val="2"/>
    </font>
    <font>
      <b/>
      <sz val="11"/>
      <color rgb="FF000000"/>
      <name val="Aptos Narrow"/>
      <family val="2"/>
    </font>
    <font>
      <sz val="11"/>
      <color rgb="FF242424"/>
      <name val="Aptos Narrow"/>
      <family val="2"/>
    </font>
    <font>
      <sz val="11"/>
      <color theme="1"/>
      <name val="Calibri"/>
      <family val="2"/>
      <charset val="1"/>
    </font>
    <font>
      <i/>
      <sz val="10"/>
      <color rgb="FF222222"/>
      <name val="Arial"/>
      <family val="2"/>
      <charset val="1"/>
    </font>
    <font>
      <sz val="10"/>
      <color rgb="FF222222"/>
      <name val="Arial"/>
      <family val="2"/>
      <charset val="1"/>
    </font>
    <font>
      <i/>
      <sz val="10"/>
      <color rgb="FF222222"/>
      <name val="Arial"/>
      <family val="2"/>
    </font>
    <font>
      <sz val="11"/>
      <color rgb="FFFF0000"/>
      <name val="Aptos Narrow"/>
      <family val="2"/>
    </font>
    <font>
      <sz val="11"/>
      <color rgb="FFFF0000"/>
      <name val="Aptos Narrow"/>
      <family val="2"/>
      <scheme val="minor"/>
    </font>
    <font>
      <sz val="10"/>
      <color rgb="FFFF0000"/>
      <name val="Arial"/>
      <family val="2"/>
    </font>
    <font>
      <i/>
      <sz val="10"/>
      <color rgb="FFFF0000"/>
      <name val="Arial"/>
      <family val="2"/>
    </font>
    <font>
      <sz val="11"/>
      <color rgb="FF00B0F0"/>
      <name val="Aptos Narrow"/>
      <family val="2"/>
      <scheme val="minor"/>
    </font>
    <font>
      <sz val="10"/>
      <color rgb="FFFF0000"/>
      <name val="Arial"/>
      <family val="2"/>
      <charset val="1"/>
    </font>
    <font>
      <i/>
      <sz val="10"/>
      <color rgb="FFFF0000"/>
      <name val="Arial"/>
      <family val="2"/>
      <charset val="1"/>
    </font>
    <font>
      <sz val="11"/>
      <color rgb="FF000000"/>
      <name val="Aptos Narrow"/>
      <family val="2"/>
      <scheme val="minor"/>
    </font>
    <font>
      <sz val="11"/>
      <color rgb="FFC00000"/>
      <name val="Aptos Narrow"/>
      <family val="2"/>
      <scheme val="minor"/>
    </font>
    <font>
      <sz val="11"/>
      <color rgb="FFC00000"/>
      <name val="Aptos Narrow"/>
      <family val="2"/>
    </font>
    <font>
      <sz val="10"/>
      <color rgb="FFC00000"/>
      <name val="Arial"/>
      <family val="2"/>
    </font>
    <font>
      <i/>
      <sz val="10"/>
      <color rgb="FFC00000"/>
      <name val="Arial"/>
      <family val="2"/>
    </font>
    <font>
      <sz val="11"/>
      <name val="Aptos Narrow"/>
      <family val="2"/>
      <scheme val="minor"/>
    </font>
    <font>
      <u/>
      <sz val="11"/>
      <name val="Aptos Narrow"/>
      <family val="2"/>
      <scheme val="minor"/>
    </font>
    <font>
      <i/>
      <sz val="11"/>
      <name val="Aptos Narrow"/>
      <family val="2"/>
      <scheme val="minor"/>
    </font>
    <font>
      <i/>
      <sz val="11"/>
      <color rgb="FFFF0000"/>
      <name val="Aptos Narrow"/>
      <family val="2"/>
      <scheme val="minor"/>
    </font>
    <font>
      <i/>
      <sz val="11"/>
      <color rgb="FFFF0000"/>
      <name val="Aptos Narrow"/>
      <family val="2"/>
    </font>
    <font>
      <u/>
      <sz val="11"/>
      <color rgb="FFFF0000"/>
      <name val="Aptos Narrow"/>
      <family val="2"/>
    </font>
    <font>
      <sz val="11"/>
      <color rgb="FF9C0006"/>
      <name val="Aptos Narrow"/>
      <family val="2"/>
    </font>
    <font>
      <i/>
      <sz val="11"/>
      <color rgb="FF000000"/>
      <name val="Aptos Narrow"/>
      <family val="2"/>
    </font>
    <font>
      <u/>
      <sz val="11"/>
      <color rgb="FF467886"/>
      <name val="Aptos Narrow"/>
      <family val="2"/>
    </font>
    <font>
      <strike/>
      <sz val="10"/>
      <color rgb="FF222222"/>
      <name val="Arial"/>
      <family val="2"/>
      <charset val="1"/>
    </font>
    <font>
      <i/>
      <strike/>
      <sz val="10"/>
      <color rgb="FF222222"/>
      <name val="Arial"/>
      <family val="2"/>
      <charset val="1"/>
    </font>
    <font>
      <strike/>
      <sz val="11"/>
      <color theme="1"/>
      <name val="Aptos Narrow"/>
      <family val="2"/>
      <scheme val="minor"/>
    </font>
    <font>
      <strike/>
      <sz val="11"/>
      <color rgb="FF000000"/>
      <name val="Aptos Narrow"/>
      <family val="2"/>
    </font>
    <font>
      <i/>
      <strike/>
      <sz val="11"/>
      <color rgb="FF000000"/>
      <name val="Aptos Narrow"/>
      <family val="2"/>
    </font>
    <font>
      <i/>
      <sz val="13"/>
      <color rgb="FF161616"/>
      <name val="Source Sans Pro"/>
      <family val="2"/>
      <charset val="1"/>
    </font>
    <font>
      <sz val="13"/>
      <color rgb="FF161616"/>
      <name val="Source Sans Pro"/>
      <family val="2"/>
      <charset val="1"/>
    </font>
    <font>
      <sz val="11"/>
      <color rgb="FF161616"/>
      <name val="Source Sans Pro"/>
      <family val="2"/>
      <charset val="1"/>
    </font>
    <font>
      <i/>
      <sz val="11"/>
      <color rgb="FF161616"/>
      <name val="Source Sans Pro"/>
      <family val="2"/>
      <charset val="1"/>
    </font>
    <font>
      <sz val="11"/>
      <color rgb="FF1F1F1F"/>
      <name val="Aptos Narrow"/>
      <family val="2"/>
      <scheme val="minor"/>
    </font>
    <font>
      <sz val="12"/>
      <color rgb="FF333333"/>
      <name val="Montserrat"/>
    </font>
    <font>
      <sz val="12"/>
      <color rgb="FF1F1F1F"/>
      <name val="ElsevierSans"/>
      <charset val="1"/>
    </font>
    <font>
      <sz val="12"/>
      <color rgb="FF1F1F1F"/>
      <name val="ElsevierGulliver"/>
      <charset val="1"/>
    </font>
    <font>
      <sz val="11"/>
      <color rgb="FF333333"/>
      <name val="Aptos Narrow"/>
      <family val="2"/>
      <scheme val="minor"/>
    </font>
    <font>
      <sz val="11"/>
      <color rgb="FF00B050"/>
      <name val="Aptos Narrow"/>
      <family val="2"/>
      <scheme val="minor"/>
    </font>
    <font>
      <b/>
      <sz val="11"/>
      <color rgb="FF00B050"/>
      <name val="Aptos Narrow"/>
      <family val="2"/>
      <scheme val="minor"/>
    </font>
    <font>
      <sz val="11"/>
      <color rgb="FF757575"/>
      <name val="Aptos Narrow"/>
      <family val="2"/>
      <scheme val="minor"/>
    </font>
    <font>
      <b/>
      <sz val="10"/>
      <color rgb="FF222222"/>
      <name val="Arial"/>
      <family val="2"/>
    </font>
    <font>
      <b/>
      <i/>
      <sz val="10"/>
      <color rgb="FF222222"/>
      <name val="Arial"/>
      <family val="2"/>
    </font>
    <font>
      <b/>
      <sz val="10"/>
      <color rgb="FF222222"/>
      <name val="Arial"/>
      <family val="2"/>
      <charset val="1"/>
    </font>
    <font>
      <b/>
      <i/>
      <sz val="10"/>
      <color rgb="FF222222"/>
      <name val="Arial"/>
      <family val="2"/>
      <charset val="1"/>
    </font>
    <font>
      <sz val="10"/>
      <color rgb="FF282828"/>
      <name val="Arial"/>
      <family val="2"/>
    </font>
    <font>
      <u/>
      <sz val="11"/>
      <color rgb="FFFF0000"/>
      <name val="Aptos Narrow"/>
      <family val="2"/>
      <scheme val="minor"/>
    </font>
    <font>
      <sz val="12"/>
      <color rgb="FF1F1F1F"/>
      <name val="Aptos Narrow"/>
      <family val="2"/>
      <scheme val="minor"/>
    </font>
    <font>
      <u/>
      <sz val="11"/>
      <color rgb="FF000000"/>
      <name val="Aptos Narrow"/>
      <family val="2"/>
      <scheme val="minor"/>
    </font>
    <font>
      <i/>
      <sz val="12"/>
      <color rgb="FF333333"/>
      <name val="Aptos Narrow"/>
      <family val="2"/>
      <scheme val="minor"/>
    </font>
    <font>
      <sz val="12"/>
      <color rgb="FF333333"/>
      <name val="Aptos Narrow"/>
      <family val="2"/>
      <scheme val="minor"/>
    </font>
    <font>
      <u/>
      <sz val="12"/>
      <color rgb="FF025A88"/>
      <name val="Aptos Narrow"/>
      <family val="2"/>
      <scheme val="minor"/>
    </font>
    <font>
      <sz val="8"/>
      <name val="Aptos Narrow"/>
      <family val="2"/>
      <scheme val="minor"/>
    </font>
    <font>
      <i/>
      <sz val="11"/>
      <color rgb="FF000000"/>
      <name val="Aptos Narrow"/>
      <family val="2"/>
      <scheme val="minor"/>
    </font>
    <font>
      <b/>
      <strike/>
      <sz val="11"/>
      <color theme="1"/>
      <name val="Aptos Narrow"/>
      <family val="2"/>
      <scheme val="minor"/>
    </font>
    <font>
      <sz val="11"/>
      <color rgb="FFFFC000"/>
      <name val="Aptos Narrow"/>
      <family val="2"/>
    </font>
    <font>
      <sz val="11"/>
      <name val="Aptos Narrow"/>
      <family val="2"/>
    </font>
    <font>
      <b/>
      <strike/>
      <sz val="11"/>
      <color rgb="FF000000"/>
      <name val="Aptos Narrow"/>
      <family val="2"/>
    </font>
    <font>
      <i/>
      <u/>
      <sz val="11"/>
      <color rgb="FF000000"/>
      <name val="Aptos Narrow"/>
      <family val="2"/>
    </font>
    <font>
      <b/>
      <sz val="10"/>
      <color rgb="FF222222"/>
      <name val="Arial"/>
    </font>
    <font>
      <b/>
      <i/>
      <sz val="10"/>
      <color rgb="FF222222"/>
      <name val="Arial"/>
    </font>
    <font>
      <b/>
      <strike/>
      <sz val="10"/>
      <color rgb="FF222222"/>
      <name val="Arial"/>
      <family val="2"/>
      <charset val="1"/>
    </font>
    <font>
      <b/>
      <i/>
      <strike/>
      <sz val="10"/>
      <color rgb="FF222222"/>
      <name val="Arial"/>
      <family val="2"/>
      <charset val="1"/>
    </font>
    <font>
      <b/>
      <strike/>
      <sz val="10"/>
      <color rgb="FF222222"/>
      <name val="Arial"/>
    </font>
    <font>
      <b/>
      <i/>
      <strike/>
      <sz val="10"/>
      <color rgb="FF222222"/>
      <name val="Arial"/>
    </font>
    <font>
      <sz val="10"/>
      <color rgb="FF222222"/>
      <name val="Arial"/>
    </font>
    <font>
      <i/>
      <sz val="10"/>
      <color rgb="FF222222"/>
      <name val="Arial"/>
    </font>
    <font>
      <b/>
      <u/>
      <sz val="11"/>
      <color theme="1"/>
      <name val="Aptos Narrow"/>
      <family val="2"/>
      <scheme val="minor"/>
    </font>
    <font>
      <sz val="11"/>
      <color rgb="FF242424"/>
      <name val="Aptos Narrow"/>
      <charset val="1"/>
    </font>
    <font>
      <i/>
      <sz val="11"/>
      <color rgb="FF222222"/>
      <name val="Aptos Narrow"/>
      <family val="2"/>
    </font>
    <font>
      <sz val="11"/>
      <color rgb="FF222222"/>
      <name val="Aptos Narrow"/>
      <family val="2"/>
    </font>
    <font>
      <sz val="11"/>
      <color rgb="FF282828"/>
      <name val="Aptos Narrow"/>
      <family val="2"/>
    </font>
    <font>
      <i/>
      <sz val="11"/>
      <name val="Aptos Narrow"/>
      <family val="2"/>
    </font>
    <font>
      <sz val="10"/>
      <color rgb="FF222222"/>
      <name val="Arial"/>
      <charset val="1"/>
    </font>
    <font>
      <sz val="11"/>
      <color rgb="FF000000"/>
      <name val="Aptos Narrow"/>
      <charset val="1"/>
    </font>
    <font>
      <sz val="11"/>
      <color rgb="FF000000"/>
      <name val="Aptos Narrow"/>
    </font>
    <font>
      <sz val="11"/>
      <name val="Aptos Narrow"/>
    </font>
    <font>
      <sz val="11"/>
      <color rgb="FF000000"/>
      <name val="Aptos Narrow"/>
      <scheme val="minor"/>
    </font>
    <font>
      <sz val="10"/>
      <color rgb="FF999999"/>
      <name val="Arial"/>
      <family val="2"/>
      <charset val="1"/>
    </font>
    <font>
      <sz val="11"/>
      <color rgb="FF2E414F"/>
      <name val="Roboto"/>
      <charset val="1"/>
    </font>
    <font>
      <i/>
      <sz val="11"/>
      <color rgb="FF2E414F"/>
      <name val="Roboto"/>
      <charset val="1"/>
    </font>
    <font>
      <sz val="12"/>
      <color rgb="FF1F1F1F"/>
      <name val="Aptos Narrow"/>
      <family val="2"/>
    </font>
    <font>
      <sz val="11"/>
      <color rgb="FF222222"/>
      <name val="Aptos Narrow"/>
      <scheme val="minor"/>
    </font>
    <font>
      <i/>
      <sz val="11"/>
      <color rgb="FF222222"/>
      <name val="Aptos Narrow"/>
      <scheme val="minor"/>
    </font>
    <font>
      <sz val="11"/>
      <color rgb="FF1F1F1F"/>
      <name val="ElsevierGulliver"/>
      <charset val="1"/>
    </font>
    <font>
      <sz val="11"/>
      <color rgb="FF222222"/>
      <name val="Arial"/>
      <family val="2"/>
      <charset val="1"/>
    </font>
    <font>
      <i/>
      <sz val="11"/>
      <color rgb="FF222222"/>
      <name val="Arial"/>
      <family val="2"/>
      <charset val="1"/>
    </font>
    <font>
      <b/>
      <sz val="11"/>
      <color rgb="FFFF0000"/>
      <name val="Aptos Narrow"/>
      <family val="2"/>
      <scheme val="minor"/>
    </font>
    <font>
      <sz val="10"/>
      <color rgb="FF000000"/>
      <name val="Arial"/>
      <family val="2"/>
      <charset val="1"/>
    </font>
    <font>
      <i/>
      <sz val="10"/>
      <color rgb="FF000000"/>
      <name val="Arial"/>
      <family val="2"/>
      <charset val="1"/>
    </font>
  </fonts>
  <fills count="33">
    <fill>
      <patternFill patternType="none"/>
    </fill>
    <fill>
      <patternFill patternType="gray125"/>
    </fill>
    <fill>
      <patternFill patternType="solid">
        <fgColor rgb="FFFFFF00"/>
        <bgColor indexed="64"/>
      </patternFill>
    </fill>
    <fill>
      <patternFill patternType="solid">
        <fgColor rgb="FF47D359"/>
        <bgColor rgb="FF000000"/>
      </patternFill>
    </fill>
    <fill>
      <patternFill patternType="solid">
        <fgColor rgb="FFFFC7CE"/>
        <bgColor rgb="FF000000"/>
      </patternFill>
    </fill>
    <fill>
      <patternFill patternType="solid">
        <fgColor rgb="FFFFFF00"/>
        <bgColor rgb="FF000000"/>
      </patternFill>
    </fill>
    <fill>
      <patternFill patternType="solid">
        <fgColor rgb="FFFF0000"/>
        <bgColor rgb="FF000000"/>
      </patternFill>
    </fill>
    <fill>
      <patternFill patternType="solid">
        <fgColor theme="3"/>
        <bgColor indexed="64"/>
      </patternFill>
    </fill>
    <fill>
      <patternFill patternType="solid">
        <fgColor rgb="FFA6C9EC"/>
        <bgColor rgb="FF000000"/>
      </patternFill>
    </fill>
    <fill>
      <patternFill patternType="solid">
        <fgColor rgb="FFDAE9F8"/>
        <bgColor rgb="FF000000"/>
      </patternFill>
    </fill>
    <fill>
      <patternFill patternType="solid">
        <fgColor theme="4" tint="0.79998168889431442"/>
        <bgColor indexed="64"/>
      </patternFill>
    </fill>
    <fill>
      <patternFill patternType="solid">
        <fgColor rgb="FFFFFFFF"/>
        <bgColor indexed="64"/>
      </patternFill>
    </fill>
    <fill>
      <patternFill patternType="solid">
        <fgColor rgb="FFFBE2D5"/>
        <bgColor rgb="FF000000"/>
      </patternFill>
    </fill>
    <fill>
      <patternFill patternType="solid">
        <fgColor theme="2" tint="-0.49998474074526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49998474074526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rgb="FF94DCF8"/>
        <bgColor rgb="FF000000"/>
      </patternFill>
    </fill>
    <fill>
      <patternFill patternType="solid">
        <fgColor rgb="FFF2CEEF"/>
        <bgColor rgb="FF000000"/>
      </patternFill>
    </fill>
    <fill>
      <patternFill patternType="solid">
        <fgColor rgb="FFFF0000"/>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6" tint="0.79998168889431442"/>
        <bgColor indexed="64"/>
      </patternFill>
    </fill>
    <fill>
      <patternFill patternType="solid">
        <fgColor rgb="FFC1F0C8"/>
        <bgColor rgb="FF000000"/>
      </patternFill>
    </fill>
    <fill>
      <patternFill patternType="solid">
        <fgColor theme="3" tint="0.89999084444715716"/>
        <bgColor indexed="64"/>
      </patternFill>
    </fill>
    <fill>
      <patternFill patternType="solid">
        <fgColor theme="2" tint="-0.249977111117893"/>
        <bgColor indexed="64"/>
      </patternFill>
    </fill>
    <fill>
      <patternFill patternType="solid">
        <fgColor theme="1"/>
        <bgColor indexed="64"/>
      </patternFill>
    </fill>
    <fill>
      <patternFill patternType="solid">
        <fgColor rgb="FFC00000"/>
        <bgColor rgb="FF000000"/>
      </patternFill>
    </fill>
    <fill>
      <patternFill patternType="solid">
        <fgColor theme="3" tint="0.749992370372631"/>
        <bgColor indexed="64"/>
      </patternFill>
    </fill>
    <fill>
      <patternFill patternType="solid">
        <fgColor theme="0"/>
        <bgColor indexed="64"/>
      </patternFill>
    </fill>
  </fills>
  <borders count="13">
    <border>
      <left/>
      <right/>
      <top/>
      <bottom/>
      <diagonal/>
    </border>
    <border>
      <left/>
      <right style="thin">
        <color rgb="FF000000"/>
      </right>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style="thin">
        <color rgb="FF000000"/>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rgb="FF000000"/>
      </top>
      <bottom/>
      <diagonal/>
    </border>
    <border>
      <left style="thin">
        <color indexed="64"/>
      </left>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2" fillId="0" borderId="0" applyNumberFormat="0" applyFill="0" applyBorder="0" applyAlignment="0" applyProtection="0"/>
  </cellStyleXfs>
  <cellXfs count="214">
    <xf numFmtId="0" fontId="0" fillId="0" borderId="0" xfId="0"/>
    <xf numFmtId="0" fontId="1" fillId="0" borderId="0" xfId="0" applyFont="1" applyAlignment="1">
      <alignment wrapText="1"/>
    </xf>
    <xf numFmtId="0" fontId="2" fillId="0" borderId="0" xfId="1"/>
    <xf numFmtId="0" fontId="3" fillId="0" borderId="0" xfId="0" applyFont="1"/>
    <xf numFmtId="0" fontId="4" fillId="0" borderId="0" xfId="0" applyFont="1"/>
    <xf numFmtId="0" fontId="5" fillId="0" borderId="0" xfId="0" applyFont="1"/>
    <xf numFmtId="0" fontId="8" fillId="0" borderId="0" xfId="0" applyFont="1"/>
    <xf numFmtId="0" fontId="0" fillId="0" borderId="0" xfId="0" applyAlignment="1">
      <alignment horizontal="left"/>
    </xf>
    <xf numFmtId="0" fontId="6" fillId="0" borderId="0" xfId="0" applyFont="1"/>
    <xf numFmtId="0" fontId="10" fillId="0" borderId="0" xfId="0" applyFont="1"/>
    <xf numFmtId="0" fontId="0" fillId="0" borderId="0" xfId="0" applyAlignment="1">
      <alignment wrapText="1"/>
    </xf>
    <xf numFmtId="0" fontId="11" fillId="0" borderId="0" xfId="0" applyFont="1"/>
    <xf numFmtId="3" fontId="0" fillId="0" borderId="0" xfId="0" applyNumberFormat="1"/>
    <xf numFmtId="0" fontId="1" fillId="0" borderId="0" xfId="0" applyFont="1"/>
    <xf numFmtId="0" fontId="13" fillId="0" borderId="0" xfId="0" applyFont="1"/>
    <xf numFmtId="0" fontId="15" fillId="0" borderId="0" xfId="0" applyFont="1"/>
    <xf numFmtId="0" fontId="16" fillId="0" borderId="0" xfId="0" applyFont="1"/>
    <xf numFmtId="0" fontId="17" fillId="0" borderId="0" xfId="0" applyFont="1"/>
    <xf numFmtId="0" fontId="19"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7" fillId="0" borderId="0" xfId="0" applyFont="1"/>
    <xf numFmtId="0" fontId="16" fillId="2" borderId="0" xfId="0" applyFont="1" applyFill="1"/>
    <xf numFmtId="0" fontId="20" fillId="2" borderId="0" xfId="0" applyFont="1" applyFill="1"/>
    <xf numFmtId="0" fontId="19" fillId="2" borderId="0" xfId="0" applyFont="1" applyFill="1"/>
    <xf numFmtId="0" fontId="28" fillId="0" borderId="0" xfId="1" applyFont="1"/>
    <xf numFmtId="0" fontId="31" fillId="0" borderId="0" xfId="0" applyFont="1"/>
    <xf numFmtId="0" fontId="2" fillId="0" borderId="0" xfId="1" applyFill="1" applyBorder="1" applyAlignment="1"/>
    <xf numFmtId="0" fontId="32" fillId="0" borderId="0" xfId="0" applyFont="1"/>
    <xf numFmtId="0" fontId="31" fillId="3" borderId="0" xfId="0" applyFont="1" applyFill="1"/>
    <xf numFmtId="0" fontId="2" fillId="3" borderId="0" xfId="1" applyFill="1" applyBorder="1" applyAlignment="1"/>
    <xf numFmtId="0" fontId="32" fillId="3" borderId="0" xfId="0" applyFont="1" applyFill="1"/>
    <xf numFmtId="0" fontId="33" fillId="4" borderId="0" xfId="0" applyFont="1" applyFill="1"/>
    <xf numFmtId="0" fontId="34" fillId="5" borderId="0" xfId="0" applyFont="1" applyFill="1"/>
    <xf numFmtId="0" fontId="2" fillId="5" borderId="0" xfId="1" applyFill="1" applyBorder="1" applyAlignment="1"/>
    <xf numFmtId="0" fontId="35" fillId="5" borderId="0" xfId="0" applyFont="1" applyFill="1"/>
    <xf numFmtId="0" fontId="34" fillId="6" borderId="0" xfId="0" applyFont="1" applyFill="1"/>
    <xf numFmtId="0" fontId="2" fillId="6" borderId="0" xfId="1" applyFill="1" applyBorder="1" applyAlignment="1"/>
    <xf numFmtId="0" fontId="35" fillId="6" borderId="0" xfId="0" applyFont="1" applyFill="1"/>
    <xf numFmtId="0" fontId="34" fillId="0" borderId="0" xfId="0" applyFont="1"/>
    <xf numFmtId="0" fontId="35" fillId="0" borderId="0" xfId="0" applyFont="1"/>
    <xf numFmtId="0" fontId="36" fillId="0" borderId="0" xfId="0" applyFont="1"/>
    <xf numFmtId="0" fontId="38" fillId="0" borderId="0" xfId="0" applyFont="1"/>
    <xf numFmtId="0" fontId="39" fillId="0" borderId="0" xfId="0" applyFont="1"/>
    <xf numFmtId="0" fontId="0" fillId="0" borderId="1" xfId="0" applyBorder="1"/>
    <xf numFmtId="0" fontId="0" fillId="0" borderId="2" xfId="0" applyBorder="1"/>
    <xf numFmtId="0" fontId="1" fillId="0" borderId="2" xfId="0" applyFont="1" applyBorder="1" applyAlignment="1">
      <alignment wrapText="1"/>
    </xf>
    <xf numFmtId="0" fontId="0" fillId="0" borderId="3" xfId="0" applyBorder="1"/>
    <xf numFmtId="0" fontId="0" fillId="7" borderId="1" xfId="0" applyFill="1" applyBorder="1"/>
    <xf numFmtId="0" fontId="0" fillId="7" borderId="0" xfId="0" applyFill="1"/>
    <xf numFmtId="0" fontId="1" fillId="7" borderId="0" xfId="0" applyFont="1" applyFill="1"/>
    <xf numFmtId="0" fontId="1" fillId="0" borderId="4" xfId="0" applyFont="1" applyBorder="1"/>
    <xf numFmtId="0" fontId="39" fillId="6" borderId="0" xfId="0" applyFont="1" applyFill="1"/>
    <xf numFmtId="0" fontId="39" fillId="6" borderId="5" xfId="0" applyFont="1" applyFill="1" applyBorder="1"/>
    <xf numFmtId="0" fontId="39" fillId="9" borderId="0" xfId="0" applyFont="1" applyFill="1"/>
    <xf numFmtId="0" fontId="39" fillId="8" borderId="0" xfId="0" applyFont="1" applyFill="1"/>
    <xf numFmtId="0" fontId="43" fillId="0" borderId="0" xfId="0" applyFont="1"/>
    <xf numFmtId="0" fontId="0" fillId="10" borderId="0" xfId="0" applyFill="1"/>
    <xf numFmtId="0" fontId="45" fillId="0" borderId="0" xfId="0" applyFont="1"/>
    <xf numFmtId="0" fontId="46" fillId="0" borderId="0" xfId="0" applyFont="1"/>
    <xf numFmtId="0" fontId="47" fillId="0" borderId="0" xfId="0" applyFont="1"/>
    <xf numFmtId="0" fontId="48" fillId="0" borderId="0" xfId="0" applyFont="1"/>
    <xf numFmtId="0" fontId="49" fillId="11" borderId="0" xfId="0" applyFont="1" applyFill="1" applyAlignment="1">
      <alignment wrapText="1"/>
    </xf>
    <xf numFmtId="0" fontId="50" fillId="0" borderId="0" xfId="0" applyFont="1" applyAlignment="1">
      <alignment wrapText="1"/>
    </xf>
    <xf numFmtId="0" fontId="50" fillId="11" borderId="0" xfId="0" applyFont="1" applyFill="1" applyAlignment="1">
      <alignment wrapText="1"/>
    </xf>
    <xf numFmtId="0" fontId="51" fillId="0" borderId="0" xfId="0" applyFont="1"/>
    <xf numFmtId="0" fontId="49" fillId="0" borderId="0" xfId="0" applyFont="1"/>
    <xf numFmtId="0" fontId="52" fillId="11" borderId="0" xfId="0" applyFont="1" applyFill="1" applyAlignment="1">
      <alignment wrapText="1"/>
    </xf>
    <xf numFmtId="0" fontId="53" fillId="0" borderId="0" xfId="0" applyFont="1"/>
    <xf numFmtId="0" fontId="55" fillId="0" borderId="0" xfId="0" applyFont="1"/>
    <xf numFmtId="0" fontId="0" fillId="2" borderId="0" xfId="0" applyFill="1"/>
    <xf numFmtId="0" fontId="58" fillId="2" borderId="0" xfId="1" applyFont="1" applyFill="1"/>
    <xf numFmtId="0" fontId="58" fillId="0" borderId="0" xfId="1" applyFont="1"/>
    <xf numFmtId="0" fontId="1" fillId="13" borderId="0" xfId="0" applyFont="1" applyFill="1" applyAlignment="1">
      <alignment wrapText="1"/>
    </xf>
    <xf numFmtId="0" fontId="0" fillId="13" borderId="0" xfId="0" applyFill="1"/>
    <xf numFmtId="0" fontId="59" fillId="0" borderId="0" xfId="0" applyFont="1"/>
    <xf numFmtId="0" fontId="60" fillId="0" borderId="0" xfId="1" applyFont="1" applyFill="1" applyBorder="1"/>
    <xf numFmtId="0" fontId="9" fillId="0" borderId="0" xfId="0" applyFont="1" applyAlignment="1">
      <alignment wrapText="1"/>
    </xf>
    <xf numFmtId="0" fontId="0" fillId="0" borderId="2" xfId="0" applyBorder="1" applyAlignment="1">
      <alignment wrapText="1"/>
    </xf>
    <xf numFmtId="0" fontId="62" fillId="0" borderId="0" xfId="0" applyFont="1"/>
    <xf numFmtId="0" fontId="10" fillId="2" borderId="0" xfId="0" applyFont="1" applyFill="1"/>
    <xf numFmtId="0" fontId="34" fillId="2" borderId="0" xfId="0" applyFont="1" applyFill="1"/>
    <xf numFmtId="0" fontId="2" fillId="2" borderId="0" xfId="1" applyFill="1" applyBorder="1" applyAlignment="1"/>
    <xf numFmtId="0" fontId="27" fillId="2" borderId="0" xfId="0" applyFont="1" applyFill="1"/>
    <xf numFmtId="0" fontId="57" fillId="0" borderId="0" xfId="0" applyFont="1"/>
    <xf numFmtId="0" fontId="6" fillId="12" borderId="6" xfId="0" applyFont="1" applyFill="1" applyBorder="1"/>
    <xf numFmtId="0" fontId="6" fillId="12" borderId="7" xfId="0" applyFont="1" applyFill="1" applyBorder="1"/>
    <xf numFmtId="0" fontId="6" fillId="2" borderId="0" xfId="0" applyFont="1" applyFill="1"/>
    <xf numFmtId="0" fontId="6" fillId="2" borderId="8" xfId="0" applyFont="1" applyFill="1" applyBorder="1"/>
    <xf numFmtId="0" fontId="6" fillId="0" borderId="6" xfId="0" applyFont="1" applyBorder="1"/>
    <xf numFmtId="0" fontId="6" fillId="0" borderId="0" xfId="0" applyFont="1" applyAlignment="1">
      <alignment wrapText="1"/>
    </xf>
    <xf numFmtId="0" fontId="15" fillId="3" borderId="0" xfId="0" applyFont="1" applyFill="1"/>
    <xf numFmtId="0" fontId="6" fillId="5" borderId="0" xfId="0" applyFont="1" applyFill="1"/>
    <xf numFmtId="0" fontId="6" fillId="6" borderId="0" xfId="0" applyFont="1" applyFill="1"/>
    <xf numFmtId="0" fontId="6" fillId="8" borderId="0" xfId="0" applyFont="1" applyFill="1"/>
    <xf numFmtId="0" fontId="6" fillId="9" borderId="0" xfId="0" applyFont="1" applyFill="1"/>
    <xf numFmtId="0" fontId="6" fillId="5" borderId="5" xfId="0" applyFont="1" applyFill="1" applyBorder="1"/>
    <xf numFmtId="0" fontId="6" fillId="8" borderId="5" xfId="0" applyFont="1" applyFill="1" applyBorder="1"/>
    <xf numFmtId="11" fontId="6" fillId="6" borderId="0" xfId="0" applyNumberFormat="1" applyFont="1" applyFill="1"/>
    <xf numFmtId="0" fontId="9" fillId="0" borderId="0" xfId="0" applyFont="1"/>
    <xf numFmtId="0" fontId="50" fillId="0" borderId="0" xfId="0" applyFont="1"/>
    <xf numFmtId="0" fontId="5" fillId="0" borderId="1" xfId="0" applyFont="1" applyBorder="1"/>
    <xf numFmtId="0" fontId="1" fillId="2" borderId="0" xfId="0" applyFont="1" applyFill="1"/>
    <xf numFmtId="0" fontId="53" fillId="2" borderId="0" xfId="0" applyFont="1" applyFill="1"/>
    <xf numFmtId="0" fontId="1" fillId="14" borderId="0" xfId="0" applyFont="1" applyFill="1"/>
    <xf numFmtId="0" fontId="0" fillId="14" borderId="0" xfId="0" applyFill="1"/>
    <xf numFmtId="0" fontId="1" fillId="10" borderId="0" xfId="0" applyFont="1" applyFill="1"/>
    <xf numFmtId="0" fontId="55" fillId="10" borderId="0" xfId="0" applyFont="1" applyFill="1"/>
    <xf numFmtId="0" fontId="1" fillId="15" borderId="0" xfId="0" applyFont="1" applyFill="1"/>
    <xf numFmtId="0" fontId="0" fillId="15" borderId="0" xfId="0" applyFill="1"/>
    <xf numFmtId="0" fontId="55" fillId="15" borderId="0" xfId="0" applyFont="1" applyFill="1"/>
    <xf numFmtId="0" fontId="1" fillId="16" borderId="0" xfId="0" applyFont="1" applyFill="1"/>
    <xf numFmtId="0" fontId="0" fillId="16" borderId="0" xfId="0" applyFill="1"/>
    <xf numFmtId="0" fontId="55" fillId="16" borderId="0" xfId="0" applyFont="1" applyFill="1"/>
    <xf numFmtId="0" fontId="0" fillId="17" borderId="0" xfId="0" applyFill="1"/>
    <xf numFmtId="0" fontId="1" fillId="17" borderId="0" xfId="0" applyFont="1" applyFill="1"/>
    <xf numFmtId="0" fontId="0" fillId="18" borderId="0" xfId="0" applyFill="1"/>
    <xf numFmtId="0" fontId="38" fillId="17" borderId="0" xfId="0" applyFont="1" applyFill="1"/>
    <xf numFmtId="0" fontId="66" fillId="16" borderId="0" xfId="0" applyFont="1" applyFill="1"/>
    <xf numFmtId="0" fontId="66" fillId="19" borderId="0" xfId="0" applyFont="1" applyFill="1"/>
    <xf numFmtId="0" fontId="66" fillId="15" borderId="0" xfId="0" applyFont="1" applyFill="1"/>
    <xf numFmtId="0" fontId="67" fillId="0" borderId="0" xfId="0" applyFont="1"/>
    <xf numFmtId="0" fontId="68" fillId="0" borderId="0" xfId="0" applyFont="1"/>
    <xf numFmtId="0" fontId="53" fillId="5" borderId="0" xfId="0" applyFont="1" applyFill="1"/>
    <xf numFmtId="0" fontId="6" fillId="0" borderId="0" xfId="0" quotePrefix="1" applyFont="1"/>
    <xf numFmtId="0" fontId="69" fillId="12" borderId="0" xfId="0" applyFont="1" applyFill="1"/>
    <xf numFmtId="0" fontId="69" fillId="20" borderId="0" xfId="0" applyFont="1" applyFill="1"/>
    <xf numFmtId="0" fontId="69" fillId="21" borderId="0" xfId="0" applyFont="1" applyFill="1"/>
    <xf numFmtId="0" fontId="0" fillId="22" borderId="0" xfId="0" applyFill="1"/>
    <xf numFmtId="0" fontId="70" fillId="23" borderId="0" xfId="0" applyFont="1" applyFill="1"/>
    <xf numFmtId="0" fontId="0" fillId="23" borderId="0" xfId="0" applyFill="1"/>
    <xf numFmtId="0" fontId="55" fillId="2" borderId="0" xfId="0" applyFont="1" applyFill="1"/>
    <xf numFmtId="0" fontId="71" fillId="2" borderId="0" xfId="0" applyFont="1" applyFill="1"/>
    <xf numFmtId="0" fontId="39" fillId="2" borderId="0" xfId="0" applyFont="1" applyFill="1"/>
    <xf numFmtId="0" fontId="73" fillId="2" borderId="0" xfId="0" applyFont="1" applyFill="1"/>
    <xf numFmtId="0" fontId="6" fillId="24" borderId="0" xfId="0" applyFont="1" applyFill="1"/>
    <xf numFmtId="0" fontId="34" fillId="24" borderId="0" xfId="0" applyFont="1" applyFill="1"/>
    <xf numFmtId="0" fontId="2" fillId="24" borderId="0" xfId="1" applyFill="1"/>
    <xf numFmtId="0" fontId="0" fillId="24" borderId="0" xfId="0" applyFill="1"/>
    <xf numFmtId="0" fontId="75" fillId="2" borderId="0" xfId="0" applyFont="1" applyFill="1"/>
    <xf numFmtId="0" fontId="9" fillId="2" borderId="0" xfId="0" applyFont="1" applyFill="1"/>
    <xf numFmtId="0" fontId="69" fillId="2" borderId="0" xfId="0" applyFont="1" applyFill="1"/>
    <xf numFmtId="0" fontId="79" fillId="0" borderId="0" xfId="0" applyFont="1"/>
    <xf numFmtId="0" fontId="77" fillId="16" borderId="0" xfId="0" applyFont="1" applyFill="1"/>
    <xf numFmtId="0" fontId="13" fillId="16" borderId="0" xfId="0" applyFont="1" applyFill="1"/>
    <xf numFmtId="0" fontId="13" fillId="25" borderId="0" xfId="0" applyFont="1" applyFill="1"/>
    <xf numFmtId="0" fontId="13" fillId="15" borderId="0" xfId="0" applyFont="1" applyFill="1"/>
    <xf numFmtId="0" fontId="6" fillId="26" borderId="9" xfId="0" applyFont="1" applyFill="1" applyBorder="1"/>
    <xf numFmtId="0" fontId="6" fillId="12" borderId="10" xfId="0" applyFont="1" applyFill="1" applyBorder="1"/>
    <xf numFmtId="0" fontId="6" fillId="15" borderId="11" xfId="0" applyFont="1" applyFill="1" applyBorder="1"/>
    <xf numFmtId="0" fontId="77" fillId="0" borderId="0" xfId="0" applyFont="1"/>
    <xf numFmtId="0" fontId="80" fillId="0" borderId="0" xfId="0" applyFont="1" applyAlignment="1">
      <alignment wrapText="1"/>
    </xf>
    <xf numFmtId="0" fontId="0" fillId="27" borderId="0" xfId="0" applyFill="1"/>
    <xf numFmtId="0" fontId="1" fillId="0" borderId="12" xfId="0" applyFont="1" applyBorder="1"/>
    <xf numFmtId="0" fontId="0" fillId="28" borderId="1" xfId="0" applyFill="1" applyBorder="1"/>
    <xf numFmtId="0" fontId="0" fillId="28" borderId="0" xfId="0" applyFill="1"/>
    <xf numFmtId="16" fontId="0" fillId="28" borderId="1" xfId="0" applyNumberFormat="1" applyFill="1" applyBorder="1"/>
    <xf numFmtId="0" fontId="42" fillId="28" borderId="0" xfId="0" applyFont="1" applyFill="1"/>
    <xf numFmtId="0" fontId="2" fillId="28" borderId="0" xfId="1" applyFill="1"/>
    <xf numFmtId="0" fontId="13" fillId="28" borderId="0" xfId="0" applyFont="1" applyFill="1"/>
    <xf numFmtId="0" fontId="0" fillId="28" borderId="2" xfId="0" applyFill="1" applyBorder="1"/>
    <xf numFmtId="0" fontId="0" fillId="28" borderId="3" xfId="0" applyFill="1" applyBorder="1"/>
    <xf numFmtId="0" fontId="0" fillId="29" borderId="0" xfId="0" applyFill="1"/>
    <xf numFmtId="0" fontId="0" fillId="27" borderId="1" xfId="0" applyFill="1" applyBorder="1"/>
    <xf numFmtId="0" fontId="82" fillId="0" borderId="0" xfId="0" applyFont="1"/>
    <xf numFmtId="0" fontId="83" fillId="0" borderId="0" xfId="0" applyFont="1"/>
    <xf numFmtId="0" fontId="68" fillId="30" borderId="0" xfId="0" applyFont="1" applyFill="1"/>
    <xf numFmtId="0" fontId="6" fillId="30" borderId="0" xfId="0" applyFont="1" applyFill="1"/>
    <xf numFmtId="0" fontId="79" fillId="0" borderId="0" xfId="0" applyFont="1" applyAlignment="1">
      <alignment wrapText="1"/>
    </xf>
    <xf numFmtId="0" fontId="13" fillId="31" borderId="0" xfId="0" applyFont="1" applyFill="1"/>
    <xf numFmtId="0" fontId="0" fillId="31" borderId="0" xfId="0" applyFill="1" applyAlignment="1">
      <alignment wrapText="1"/>
    </xf>
    <xf numFmtId="0" fontId="77" fillId="25" borderId="0" xfId="0" applyFont="1" applyFill="1" applyAlignment="1">
      <alignment wrapText="1"/>
    </xf>
    <xf numFmtId="0" fontId="77" fillId="25" borderId="0" xfId="0" applyFont="1" applyFill="1"/>
    <xf numFmtId="0" fontId="80" fillId="0" borderId="0" xfId="0" applyFont="1"/>
    <xf numFmtId="0" fontId="85" fillId="0" borderId="0" xfId="0" applyFont="1"/>
    <xf numFmtId="0" fontId="2" fillId="0" borderId="0" xfId="1" applyFill="1"/>
    <xf numFmtId="0" fontId="0" fillId="0" borderId="0" xfId="0" applyAlignment="1">
      <alignment horizontal="right"/>
    </xf>
    <xf numFmtId="0" fontId="2" fillId="0" borderId="0" xfId="1" applyFill="1" applyBorder="1"/>
    <xf numFmtId="0" fontId="0" fillId="0" borderId="0" xfId="0" applyAlignment="1">
      <alignment horizontal="right" wrapText="1"/>
    </xf>
    <xf numFmtId="0" fontId="87" fillId="0" borderId="0" xfId="0" applyFont="1"/>
    <xf numFmtId="0" fontId="88" fillId="0" borderId="0" xfId="0" applyFont="1"/>
    <xf numFmtId="3" fontId="90" fillId="0" borderId="0" xfId="0" applyNumberFormat="1" applyFont="1"/>
    <xf numFmtId="0" fontId="91" fillId="0" borderId="0" xfId="0" applyFont="1"/>
    <xf numFmtId="0" fontId="89" fillId="0" borderId="0" xfId="0" applyFont="1" applyAlignment="1">
      <alignment wrapText="1"/>
    </xf>
    <xf numFmtId="0" fontId="27" fillId="0" borderId="0" xfId="0" applyFont="1" applyAlignment="1">
      <alignment wrapText="1"/>
    </xf>
    <xf numFmtId="0" fontId="94" fillId="0" borderId="0" xfId="0" applyFont="1"/>
    <xf numFmtId="0" fontId="93" fillId="0" borderId="0" xfId="0" applyFont="1"/>
    <xf numFmtId="164" fontId="6" fillId="0" borderId="0" xfId="0" applyNumberFormat="1" applyFont="1"/>
    <xf numFmtId="164" fontId="87" fillId="0" borderId="0" xfId="0" applyNumberFormat="1" applyFont="1"/>
    <xf numFmtId="0" fontId="0" fillId="32" borderId="0" xfId="0" applyFill="1"/>
    <xf numFmtId="0" fontId="27" fillId="32" borderId="0" xfId="0" applyFont="1" applyFill="1"/>
    <xf numFmtId="0" fontId="86" fillId="0" borderId="0" xfId="0" applyFont="1"/>
    <xf numFmtId="0" fontId="99" fillId="14" borderId="0" xfId="0" applyFont="1" applyFill="1"/>
    <xf numFmtId="0" fontId="87" fillId="14" borderId="0" xfId="0" applyFont="1" applyFill="1"/>
    <xf numFmtId="0" fontId="13" fillId="2" borderId="0" xfId="0" applyFont="1" applyFill="1"/>
    <xf numFmtId="0" fontId="2" fillId="2" borderId="0" xfId="1" applyFill="1"/>
    <xf numFmtId="0" fontId="68" fillId="2" borderId="0" xfId="0" applyFont="1" applyFill="1"/>
    <xf numFmtId="0" fontId="97" fillId="2" borderId="0" xfId="0" applyFont="1" applyFill="1"/>
    <xf numFmtId="0" fontId="89" fillId="2" borderId="0" xfId="0" applyFont="1" applyFill="1"/>
    <xf numFmtId="0" fontId="96" fillId="2" borderId="0" xfId="0" applyFont="1" applyFill="1"/>
    <xf numFmtId="0" fontId="77" fillId="2" borderId="0" xfId="0" applyFont="1" applyFill="1"/>
    <xf numFmtId="0" fontId="28" fillId="2" borderId="0" xfId="1" applyFont="1" applyFill="1"/>
    <xf numFmtId="0" fontId="84" fillId="2" borderId="0" xfId="0" applyFont="1" applyFill="1"/>
    <xf numFmtId="0" fontId="35" fillId="2" borderId="0" xfId="0" applyFont="1" applyFill="1"/>
    <xf numFmtId="0" fontId="87" fillId="2" borderId="0" xfId="0" applyFont="1" applyFill="1"/>
    <xf numFmtId="0" fontId="88" fillId="2" borderId="0" xfId="0" applyFont="1" applyFill="1"/>
    <xf numFmtId="0" fontId="5" fillId="2" borderId="0" xfId="0" applyFont="1" applyFill="1"/>
    <xf numFmtId="0" fontId="100" fillId="2" borderId="0" xfId="0" applyFont="1" applyFill="1"/>
    <xf numFmtId="0" fontId="5" fillId="2" borderId="0" xfId="0" applyFont="1" applyFill="1" applyAlignment="1">
      <alignment wrapText="1"/>
    </xf>
    <xf numFmtId="0" fontId="60" fillId="2" borderId="0" xfId="1" applyFont="1" applyFill="1"/>
    <xf numFmtId="0" fontId="27" fillId="2" borderId="0" xfId="0" applyFont="1" applyFill="1" applyAlignment="1">
      <alignment wrapText="1"/>
    </xf>
    <xf numFmtId="0" fontId="0" fillId="2"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aven, Olivier (Student)" id="{DC500A00-FB55-45FB-8C11-D988283C97A0}" userId="S::or81@students.waikato.ac.nz::e271f6c9-056d-4468-bbaf-9e72d555f806" providerId="AD"/>
  <person displayName="Whitney Woelmer" id="{6CD2090F-2F52-4C9D-887F-C04E7F3D1581}" userId="S::whitney.woelmer@waikato.ac.nz::cc1e44da-7691-4c78-aceb-77bbb5a5616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47" dT="2025-06-11T23:21:02.06" personId="{DC500A00-FB55-45FB-8C11-D988283C97A0}" id="{FCFD6114-E67A-485D-81A0-81E190B343DB}">
    <text>Not given?</text>
  </threadedComment>
  <threadedComment ref="H47" dT="2025-06-16T00:39:12.19" personId="{6CD2090F-2F52-4C9D-887F-C04E7F3D1581}" id="{88A9EF97-10A1-49E4-86E6-06A51EAE05EC}" parentId="{FCFD6114-E67A-485D-81A0-81E190B343DB}">
    <text>Yeah I do not see the  method described anywhere. On Figures 6-7 they show the equation but they have used a polynomial regression so calculating the slope (i.e., trend) from that is not stratightforward. Since they also report seasonal trends, I would normally have asked you to add those in as well but they do not list the trends in the text and they are not listed as a linear regression on the figure so they wouldn't be comparable to linear regression values from all other studies. 
I guess you can put 'polynomial regression' as the method here but we may end up not using this study as it is not clear how they actually calculated the trend</text>
  </threadedComment>
  <threadedComment ref="H48" dT="2025-06-11T23:21:02.06" personId="{DC500A00-FB55-45FB-8C11-D988283C97A0}" id="{1B43E502-7E56-48DC-88D4-AD40D962A3AB}">
    <text>Not given?</text>
  </threadedComment>
  <threadedComment ref="L100" dT="2025-06-11T23:23:12.26" personId="{DC500A00-FB55-45FB-8C11-D988283C97A0}" id="{33427B95-6813-4DFD-80E5-45C14FB86E05}">
    <text>6 usa lakes</text>
  </threadedComment>
  <threadedComment ref="L101" dT="2025-06-11T23:23:12.26" personId="{DC500A00-FB55-45FB-8C11-D988283C97A0}" id="{47EB6617-27F6-497D-AAC2-2C673FA2C228}">
    <text>6 usa lakes</text>
  </threadedComment>
</ThreadedComments>
</file>

<file path=xl/threadedComments/threadedComment2.xml><?xml version="1.0" encoding="utf-8"?>
<ThreadedComments xmlns="http://schemas.microsoft.com/office/spreadsheetml/2018/threadedcomments" xmlns:x="http://schemas.openxmlformats.org/spreadsheetml/2006/main">
  <threadedComment ref="H119" dT="2025-06-11T23:21:02.06" personId="{DC500A00-FB55-45FB-8C11-D988283C97A0}" id="{AE3595CF-B596-4BA1-8D0F-227BC6D83881}">
    <text>Not given?</text>
  </threadedComment>
  <threadedComment ref="H119" dT="2025-06-16T00:39:12.19" personId="{6CD2090F-2F52-4C9D-887F-C04E7F3D1581}" id="{BB660D27-FD77-41D1-8F03-23B2533042EB}" parentId="{AE3595CF-B596-4BA1-8D0F-227BC6D83881}">
    <text>Yeah I do not see the  method described anywhere. On Figures 6-7 they show the equation but they have used a polynomial regression so calculating the slope (i.e., trend) from that is not stratightforward. Since they also report seasonal trends, I would normally have asked you to add those in as well but they do not list the trends in the text and they are not listed as a linear regression on the figure so they wouldn't be comparable to linear regression values from all other studies. 
I guess you can put 'polynomial regression' as the method here but we may end up not using this study as it is not clear how they actually calculated the trend</text>
  </threadedComment>
  <threadedComment ref="H120" dT="2025-06-11T23:21:02.06" personId="{DC500A00-FB55-45FB-8C11-D988283C97A0}" id="{5FDCA68D-5C6C-47BA-B44E-8B566EAC439E}">
    <text>Not given?</text>
  </threadedComment>
  <threadedComment ref="L121" dT="2025-06-11T23:23:12.26" personId="{DC500A00-FB55-45FB-8C11-D988283C97A0}" id="{1343CF8A-E217-4A58-BCBA-B8F1D9237AAD}">
    <text>6 usa lakes</text>
  </threadedComment>
  <threadedComment ref="L122" dT="2025-06-11T23:23:12.26" personId="{DC500A00-FB55-45FB-8C11-D988283C97A0}" id="{1DEBBABE-5F61-43CD-8F11-6FFBE34CF339}">
    <text>6 usa lakes</text>
  </threadedComment>
</ThreadedComments>
</file>

<file path=xl/threadedComments/threadedComment3.xml><?xml version="1.0" encoding="utf-8"?>
<ThreadedComments xmlns="http://schemas.microsoft.com/office/spreadsheetml/2018/threadedcomments" xmlns:x="http://schemas.openxmlformats.org/spreadsheetml/2006/main">
  <threadedComment ref="A35" dT="2025-06-11T23:15:29.72" personId="{DC500A00-FB55-45FB-8C11-D988283C97A0}" id="{75EDB48C-F944-4674-99EB-C81D80A017AD}">
    <text>Please help with this one</text>
  </threadedComment>
  <threadedComment ref="H37" dT="2025-06-11T23:21:02.06" personId="{DC500A00-FB55-45FB-8C11-D988283C97A0}" id="{2FBA1410-38D7-4207-8C8A-5ED825E2B4BE}">
    <text>Not given?</text>
  </threadedComment>
  <threadedComment ref="H38" dT="2025-06-11T23:21:02.06" personId="{DC500A00-FB55-45FB-8C11-D988283C97A0}" id="{32E130EF-066A-4F6A-81C9-9E09EC068822}">
    <text>Not given?</text>
  </threadedComment>
  <threadedComment ref="L39" dT="2025-06-11T23:23:12.26" personId="{DC500A00-FB55-45FB-8C11-D988283C97A0}" id="{E59A77A5-0E03-4A36-A49A-EFBDE322B1E7}">
    <text>6 usa lakes</text>
  </threadedComment>
  <threadedComment ref="L40" dT="2025-06-11T23:23:12.26" personId="{DC500A00-FB55-45FB-8C11-D988283C97A0}" id="{7A1696EB-EFE7-4A6A-B9E8-D316B6994D23}">
    <text>6 usa lakes</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agupubs.onlinelibrary.wiley.com/doi/full/10.1002/2013WR014448" TargetMode="External"/><Relationship Id="rId21" Type="http://schemas.openxmlformats.org/officeDocument/2006/relationships/hyperlink" Target="https://agupubs.onlinelibrary.wiley.com/doi/full/10.1029/2017JG004321" TargetMode="External"/><Relationship Id="rId42" Type="http://schemas.openxmlformats.org/officeDocument/2006/relationships/hyperlink" Target="https://www.sciencedirect.com/science/article/pii/S2214581823002586" TargetMode="External"/><Relationship Id="rId47" Type="http://schemas.openxmlformats.org/officeDocument/2006/relationships/hyperlink" Target="https://www.sciencedirect.com/science/article/pii/S0048969722018022" TargetMode="External"/><Relationship Id="rId63" Type="http://schemas.openxmlformats.org/officeDocument/2006/relationships/hyperlink" Target="https://www-sciencedirect-com.ezproxy.waikato.ac.nz/science/article/pii/S1470160X24006228" TargetMode="External"/><Relationship Id="rId68" Type="http://schemas.openxmlformats.org/officeDocument/2006/relationships/hyperlink" Target="https://www.sciencedirect.com/science/article/pii/S0895981121004557" TargetMode="External"/><Relationship Id="rId84" Type="http://schemas.openxmlformats.org/officeDocument/2006/relationships/hyperlink" Target="https://www.mdpi.com/2079-9276/13/11/149" TargetMode="External"/><Relationship Id="rId89" Type="http://schemas.openxmlformats.org/officeDocument/2006/relationships/hyperlink" Target="https://www.mdpi.com/2073-4433/16/2/120" TargetMode="External"/><Relationship Id="rId112" Type="http://schemas.openxmlformats.org/officeDocument/2006/relationships/hyperlink" Target="https://www.scopus.com/inward/record.uri?eid=2-s2.0-85197755921&amp;doi=10.1007%2fs11356-024-34212-x&amp;partnerID=40&amp;md5=f5d613c4e9dd74de59fdc00210d6f82a" TargetMode="External"/><Relationship Id="rId16" Type="http://schemas.openxmlformats.org/officeDocument/2006/relationships/hyperlink" Target="https://www.mdpi.com/2072-4292/9/7/723" TargetMode="External"/><Relationship Id="rId107" Type="http://schemas.openxmlformats.org/officeDocument/2006/relationships/hyperlink" Target="https://www.mdpi.com/2079-9276/14/4/67" TargetMode="External"/><Relationship Id="rId11" Type="http://schemas.openxmlformats.org/officeDocument/2006/relationships/hyperlink" Target="https://agupubs.onlinelibrary.wiley.com/doi/full/10.1002/2014JD021615" TargetMode="External"/><Relationship Id="rId32" Type="http://schemas.openxmlformats.org/officeDocument/2006/relationships/hyperlink" Target="https://www.mdpi.com/2072-4292/13/22/4535" TargetMode="External"/><Relationship Id="rId37" Type="http://schemas.openxmlformats.org/officeDocument/2006/relationships/hyperlink" Target="https://agupubs.onlinelibrary.wiley.com/doi/full/10.1029/2018GL078601" TargetMode="External"/><Relationship Id="rId53" Type="http://schemas.openxmlformats.org/officeDocument/2006/relationships/hyperlink" Target="https://www.sciencedirect.com/science/article/pii/S1574954123003606" TargetMode="External"/><Relationship Id="rId58" Type="http://schemas.openxmlformats.org/officeDocument/2006/relationships/hyperlink" Target="https://www.frontiersin.org/journals/ecology-and-evolution/articles/10.3389/fevo.2022.984692/full" TargetMode="External"/><Relationship Id="rId74" Type="http://schemas.openxmlformats.org/officeDocument/2006/relationships/hyperlink" Target="https://www.mdpi.com/2079-9276/12/9/107" TargetMode="External"/><Relationship Id="rId79" Type="http://schemas.openxmlformats.org/officeDocument/2006/relationships/hyperlink" Target="https://www.nature.com/articles/sdata201795" TargetMode="External"/><Relationship Id="rId102" Type="http://schemas.openxmlformats.org/officeDocument/2006/relationships/hyperlink" Target="https://www.mdpi.com/2073-4441/17/3/385" TargetMode="External"/><Relationship Id="rId5" Type="http://schemas.openxmlformats.org/officeDocument/2006/relationships/hyperlink" Target="https://www.mdpi.com/2073-4441/16/23/3347" TargetMode="External"/><Relationship Id="rId90" Type="http://schemas.openxmlformats.org/officeDocument/2006/relationships/hyperlink" Target="https://www.mdpi.com/2073-4433/16/2/120" TargetMode="External"/><Relationship Id="rId95" Type="http://schemas.openxmlformats.org/officeDocument/2006/relationships/hyperlink" Target="https://www.proquest.com/docview/2571500367?accountid=17287&amp;parentSessionId=Nt8kVhIVr4AxkPgmZGK0CsCFas3u1AHSNsqXgNfVtSg%3D&amp;pq-origsite=primo&amp;sourcetype=Scholarly%20Journals" TargetMode="External"/><Relationship Id="rId22" Type="http://schemas.openxmlformats.org/officeDocument/2006/relationships/hyperlink" Target="https://agupubs.onlinelibrary.wiley.com/doi/full/10.1029/2017JG004321" TargetMode="External"/><Relationship Id="rId27" Type="http://schemas.openxmlformats.org/officeDocument/2006/relationships/hyperlink" Target="https://link-springer-com.ezproxy.waikato.ac.nz/article/10.1007/s11430-024-1527-4" TargetMode="External"/><Relationship Id="rId43" Type="http://schemas.openxmlformats.org/officeDocument/2006/relationships/hyperlink" Target="https://www.sciencedirect.com/science/article/pii/S2214581823002586" TargetMode="External"/><Relationship Id="rId48" Type="http://schemas.openxmlformats.org/officeDocument/2006/relationships/hyperlink" Target="https://www.sciencedirect.com/science/article/pii/S0048969722018022" TargetMode="External"/><Relationship Id="rId64" Type="http://schemas.openxmlformats.org/officeDocument/2006/relationships/hyperlink" Target="https://www.sciencedirect.com/science/article/pii/S0895981121004557" TargetMode="External"/><Relationship Id="rId69" Type="http://schemas.openxmlformats.org/officeDocument/2006/relationships/hyperlink" Target="https://www.mdpi.com/2079-9276/12/9/107" TargetMode="External"/><Relationship Id="rId113" Type="http://schemas.openxmlformats.org/officeDocument/2006/relationships/vmlDrawing" Target="../drawings/vmlDrawing1.vml"/><Relationship Id="rId80" Type="http://schemas.openxmlformats.org/officeDocument/2006/relationships/hyperlink" Target="https://agupubs.onlinelibrary.wiley.com/doi/full/10.1029/2022JD038465" TargetMode="External"/><Relationship Id="rId85" Type="http://schemas.openxmlformats.org/officeDocument/2006/relationships/hyperlink" Target="https://www.nature.com/articles/s41598-022-06363-9" TargetMode="External"/><Relationship Id="rId12" Type="http://schemas.openxmlformats.org/officeDocument/2006/relationships/hyperlink" Target="https://www.nature.com/articles/s41598-022-06363-9" TargetMode="External"/><Relationship Id="rId17" Type="http://schemas.openxmlformats.org/officeDocument/2006/relationships/hyperlink" Target="https://www.mdpi.com/2072-4292/9/7/723" TargetMode="External"/><Relationship Id="rId33" Type="http://schemas.openxmlformats.org/officeDocument/2006/relationships/hyperlink" Target="https://hess.copernicus.org/articles/23/2093/2019/hess-23-2093-2019.html" TargetMode="External"/><Relationship Id="rId38" Type="http://schemas.openxmlformats.org/officeDocument/2006/relationships/hyperlink" Target="https://agupubs.onlinelibrary.wiley.com/doi/full/10.1029/2018GL078601" TargetMode="External"/><Relationship Id="rId59" Type="http://schemas.openxmlformats.org/officeDocument/2006/relationships/hyperlink" Target="https://www.frontiersin.org/journals/ecology-and-evolution/articles/10.3389/fevo.2022.984692/full" TargetMode="External"/><Relationship Id="rId103" Type="http://schemas.openxmlformats.org/officeDocument/2006/relationships/hyperlink" Target="https://www.mdpi.com/2073-4441/17/3/385" TargetMode="External"/><Relationship Id="rId108" Type="http://schemas.openxmlformats.org/officeDocument/2006/relationships/hyperlink" Target="https://www.mdpi.com/2079-9276/14/4/67" TargetMode="External"/><Relationship Id="rId54" Type="http://schemas.openxmlformats.org/officeDocument/2006/relationships/hyperlink" Target="https://www.mdpi.com/2072-4292/14/8/1774" TargetMode="External"/><Relationship Id="rId70" Type="http://schemas.openxmlformats.org/officeDocument/2006/relationships/hyperlink" Target="https://www.mdpi.com/2079-9276/12/9/107" TargetMode="External"/><Relationship Id="rId75" Type="http://schemas.openxmlformats.org/officeDocument/2006/relationships/hyperlink" Target="https://www.mdpi.com/2079-9276/12/9/107" TargetMode="External"/><Relationship Id="rId91" Type="http://schemas.openxmlformats.org/officeDocument/2006/relationships/hyperlink" Target="https://www.mdpi.com/2073-4433/16/2/120" TargetMode="External"/><Relationship Id="rId96" Type="http://schemas.openxmlformats.org/officeDocument/2006/relationships/hyperlink" Target="https://agupubs.onlinelibrary.wiley.com/doi/full/10.1029/2009GL040846" TargetMode="External"/><Relationship Id="rId1" Type="http://schemas.openxmlformats.org/officeDocument/2006/relationships/hyperlink" Target="https://link-springer-com.ezproxy.waikato.ac.nz/article/10.1007/s11356-024-35173-x" TargetMode="External"/><Relationship Id="rId6" Type="http://schemas.openxmlformats.org/officeDocument/2006/relationships/hyperlink" Target="https://link.springer.com/article/10.1007/s11356-021-15621-8" TargetMode="External"/><Relationship Id="rId15" Type="http://schemas.openxmlformats.org/officeDocument/2006/relationships/hyperlink" Target="https://www.mdpi.com/2072-4292/9/7/723" TargetMode="External"/><Relationship Id="rId23" Type="http://schemas.openxmlformats.org/officeDocument/2006/relationships/hyperlink" Target="https://agupubs.onlinelibrary.wiley.com/doi/full/10.1029/2024EA003910" TargetMode="External"/><Relationship Id="rId28" Type="http://schemas.openxmlformats.org/officeDocument/2006/relationships/hyperlink" Target="https://link-springer-com.ezproxy.waikato.ac.nz/article/10.1007/s11430-024-1527-4" TargetMode="External"/><Relationship Id="rId36" Type="http://schemas.openxmlformats.org/officeDocument/2006/relationships/hyperlink" Target="https://agupubs.onlinelibrary.wiley.com/doi/full/10.1029/2018GL078601" TargetMode="External"/><Relationship Id="rId49" Type="http://schemas.openxmlformats.org/officeDocument/2006/relationships/hyperlink" Target="https://www.researchgate.net/profile/Bartosz-Czernecki/publication/324898662_The_impact_of_global_warming_on_lake_surface_water_temperature_in_Poland_-_The_application_of_empirical-statistical_downscaling_1971-2100/links/5c25017192851c22a34966d3/The-impact-of-global-warming-on-lake-surface-water-temperature-in-Poland-The-application-of-empirical-statistical-downscaling-1971-2100.pdf" TargetMode="External"/><Relationship Id="rId57" Type="http://schemas.openxmlformats.org/officeDocument/2006/relationships/hyperlink" Target="https://www.mdpi.com/2073-4441/17/3/385" TargetMode="External"/><Relationship Id="rId106" Type="http://schemas.openxmlformats.org/officeDocument/2006/relationships/hyperlink" Target="https://doi.org/10.1016/j.jhydrol.2024.130971" TargetMode="External"/><Relationship Id="rId114" Type="http://schemas.openxmlformats.org/officeDocument/2006/relationships/comments" Target="../comments1.xml"/><Relationship Id="rId10" Type="http://schemas.openxmlformats.org/officeDocument/2006/relationships/hyperlink" Target="https://www.mdpi.com/2073-4433/16/2/120" TargetMode="External"/><Relationship Id="rId31" Type="http://schemas.openxmlformats.org/officeDocument/2006/relationships/hyperlink" Target="https://link-springer-com.ezproxy.waikato.ac.nz/article/10.1007/s11430-024-1527-4" TargetMode="External"/><Relationship Id="rId44" Type="http://schemas.openxmlformats.org/officeDocument/2006/relationships/hyperlink" Target="https://www.sciencedirect.com/science/article/pii/S2214581823002586" TargetMode="External"/><Relationship Id="rId52" Type="http://schemas.openxmlformats.org/officeDocument/2006/relationships/hyperlink" Target="https://www.mdpi.com/2079-9276/14/4/67" TargetMode="External"/><Relationship Id="rId60" Type="http://schemas.openxmlformats.org/officeDocument/2006/relationships/hyperlink" Target="https://www.proquest.com/docview/2571500367?accountid=17287&amp;parentSessionId=Nt8kVhIVr4AxkPgmZGK0CsCFas3u1AHSNsqXgNfVtSg%3D&amp;pq-origsite=primo&amp;sourcetype=Scholarly%20Journals" TargetMode="External"/><Relationship Id="rId65" Type="http://schemas.openxmlformats.org/officeDocument/2006/relationships/hyperlink" Target="https://www.sciencedirect.com/science/article/pii/S0895981121004557" TargetMode="External"/><Relationship Id="rId73" Type="http://schemas.openxmlformats.org/officeDocument/2006/relationships/hyperlink" Target="https://www.mdpi.com/2079-9276/12/9/107" TargetMode="External"/><Relationship Id="rId78" Type="http://schemas.openxmlformats.org/officeDocument/2006/relationships/hyperlink" Target="https://www.nature.com/articles/sdata201795" TargetMode="External"/><Relationship Id="rId81" Type="http://schemas.openxmlformats.org/officeDocument/2006/relationships/hyperlink" Target="https://agupubs.onlinelibrary.wiley.com/doi/full/10.1029/2022JD038465" TargetMode="External"/><Relationship Id="rId86" Type="http://schemas.openxmlformats.org/officeDocument/2006/relationships/hyperlink" Target="https://www.frontiersin.org/journals/environmental-science/articles/10.3389/fenvs.2022.991502/full" TargetMode="External"/><Relationship Id="rId94" Type="http://schemas.openxmlformats.org/officeDocument/2006/relationships/hyperlink" Target="https://www.proquest.com/docview/2571500367?accountid=17287&amp;parentSessionId=Nt8kVhIVr4AxkPgmZGK0CsCFas3u1AHSNsqXgNfVtSg%3D&amp;pq-origsite=primo&amp;sourcetype=Scholarly%20Journals" TargetMode="External"/><Relationship Id="rId99" Type="http://schemas.openxmlformats.org/officeDocument/2006/relationships/hyperlink" Target="https://www.sciencedirect.com/science/article/pii/S0043135420305558" TargetMode="External"/><Relationship Id="rId101" Type="http://schemas.openxmlformats.org/officeDocument/2006/relationships/hyperlink" Target="https://www.mdpi.com/2073-4441/17/3/385" TargetMode="External"/><Relationship Id="rId4" Type="http://schemas.openxmlformats.org/officeDocument/2006/relationships/hyperlink" Target="https://www.nature.com/articles/s41467-023-42262-x" TargetMode="External"/><Relationship Id="rId9" Type="http://schemas.openxmlformats.org/officeDocument/2006/relationships/hyperlink" Target="https://www.mdpi.com/2071-1050/13/17/9908" TargetMode="External"/><Relationship Id="rId13" Type="http://schemas.openxmlformats.org/officeDocument/2006/relationships/hyperlink" Target="https://www.mdpi.com/2072-4292/8/10/854" TargetMode="External"/><Relationship Id="rId18" Type="http://schemas.openxmlformats.org/officeDocument/2006/relationships/hyperlink" Target="https://link-springer-com.ezproxy.waikato.ac.nz/article/10.1007/s10584-019-02465-y" TargetMode="External"/><Relationship Id="rId39" Type="http://schemas.openxmlformats.org/officeDocument/2006/relationships/hyperlink" Target="https://link.springer.com/article/10.1007/s10584-021-03085-1" TargetMode="External"/><Relationship Id="rId109" Type="http://schemas.openxmlformats.org/officeDocument/2006/relationships/hyperlink" Target="https://www.mdpi.com/2079-9276/14/4/67" TargetMode="External"/><Relationship Id="rId34" Type="http://schemas.openxmlformats.org/officeDocument/2006/relationships/hyperlink" Target="https://agupubs.onlinelibrary.wiley.com/doi/full/10.1029/2019GL082752" TargetMode="External"/><Relationship Id="rId50" Type="http://schemas.openxmlformats.org/officeDocument/2006/relationships/hyperlink" Target="https://www.nature.com/articles/s41467-021-21971-1" TargetMode="External"/><Relationship Id="rId55" Type="http://schemas.openxmlformats.org/officeDocument/2006/relationships/hyperlink" Target="https://www.proquest.com/docview/2571500367?accountid=17287&amp;parentSessionId=Nt8kVhIVr4AxkPgmZGK0CsCFas3u1AHSNsqXgNfVtSg%3D&amp;pq-origsite=primo&amp;sourcetype=Scholarly%20Journals" TargetMode="External"/><Relationship Id="rId76" Type="http://schemas.openxmlformats.org/officeDocument/2006/relationships/hyperlink" Target="https://www.mdpi.com/2079-9276/12/9/107" TargetMode="External"/><Relationship Id="rId97" Type="http://schemas.openxmlformats.org/officeDocument/2006/relationships/hyperlink" Target="https://www.sciencedirect.com/science/article/pii/S0043135420305558" TargetMode="External"/><Relationship Id="rId104" Type="http://schemas.openxmlformats.org/officeDocument/2006/relationships/hyperlink" Target="https://www.mdpi.com/2073-4441/17/3/385" TargetMode="External"/><Relationship Id="rId7" Type="http://schemas.openxmlformats.org/officeDocument/2006/relationships/hyperlink" Target="https://agupubs.onlinelibrary.wiley.com/doi/full/10.1029/2018GL078601" TargetMode="External"/><Relationship Id="rId71" Type="http://schemas.openxmlformats.org/officeDocument/2006/relationships/hyperlink" Target="https://www.mdpi.com/2079-9276/12/9/107" TargetMode="External"/><Relationship Id="rId92" Type="http://schemas.openxmlformats.org/officeDocument/2006/relationships/hyperlink" Target="https://www.mdpi.com/2073-4433/16/2/120" TargetMode="External"/><Relationship Id="rId2" Type="http://schemas.openxmlformats.org/officeDocument/2006/relationships/hyperlink" Target="https://www.mdpi.com/2072-4292/10/7/990" TargetMode="External"/><Relationship Id="rId29" Type="http://schemas.openxmlformats.org/officeDocument/2006/relationships/hyperlink" Target="https://link-springer-com.ezproxy.waikato.ac.nz/article/10.1007/s11430-024-1527-4" TargetMode="External"/><Relationship Id="rId24" Type="http://schemas.openxmlformats.org/officeDocument/2006/relationships/hyperlink" Target="https://agupubs.onlinelibrary.wiley.com/doi/full/10.1029/2022JD038465" TargetMode="External"/><Relationship Id="rId40" Type="http://schemas.openxmlformats.org/officeDocument/2006/relationships/hyperlink" Target="https://papers.ssrn.com/sol3/papers.cfm?abstract_id=5000849" TargetMode="External"/><Relationship Id="rId45" Type="http://schemas.openxmlformats.org/officeDocument/2006/relationships/hyperlink" Target="https://www.sciencedirect.com/science/article/pii/S0013935124003165" TargetMode="External"/><Relationship Id="rId66" Type="http://schemas.openxmlformats.org/officeDocument/2006/relationships/hyperlink" Target="https://www.sciencedirect.com/science/article/pii/S0895981121004557" TargetMode="External"/><Relationship Id="rId87" Type="http://schemas.openxmlformats.org/officeDocument/2006/relationships/hyperlink" Target="https://www.scopus.com/inward/record.uri?eid=2-s2.0-85105879992&amp;doi=10.1109%2fJSTARS.2021.3079357&amp;partnerID=40&amp;md5=58dcd306c13ea7a86ecd9c98d695eaae" TargetMode="External"/><Relationship Id="rId110" Type="http://schemas.openxmlformats.org/officeDocument/2006/relationships/hyperlink" Target="https://www.mdpi.com/2079-9276/14/4/67" TargetMode="External"/><Relationship Id="rId115" Type="http://schemas.microsoft.com/office/2017/10/relationships/threadedComment" Target="../threadedComments/threadedComment1.xml"/><Relationship Id="rId61" Type="http://schemas.openxmlformats.org/officeDocument/2006/relationships/hyperlink" Target="https://agupubs.onlinelibrary.wiley.com/doi/full/10.1029/2009GL040846" TargetMode="External"/><Relationship Id="rId82" Type="http://schemas.openxmlformats.org/officeDocument/2006/relationships/hyperlink" Target="https://agupubs.onlinelibrary.wiley.com/doi/full/10.1029/2022JD038465" TargetMode="External"/><Relationship Id="rId19" Type="http://schemas.openxmlformats.org/officeDocument/2006/relationships/hyperlink" Target="https://link-springer-com.ezproxy.waikato.ac.nz/article/10.1007/s10584-019-02465-y" TargetMode="External"/><Relationship Id="rId14" Type="http://schemas.openxmlformats.org/officeDocument/2006/relationships/hyperlink" Target="https://www.mdpi.com/2073-4441/12/2/405" TargetMode="External"/><Relationship Id="rId30" Type="http://schemas.openxmlformats.org/officeDocument/2006/relationships/hyperlink" Target="https://link-springer-com.ezproxy.waikato.ac.nz/article/10.1007/s11430-024-1527-4" TargetMode="External"/><Relationship Id="rId35" Type="http://schemas.openxmlformats.org/officeDocument/2006/relationships/hyperlink" Target="https://agupubs.onlinelibrary.wiley.com/doi/full/10.1029/2018GL078601" TargetMode="External"/><Relationship Id="rId56" Type="http://schemas.openxmlformats.org/officeDocument/2006/relationships/hyperlink" Target="https://www.tandfonline.com/doi/full/10.1080/02723646.2020.1751386" TargetMode="External"/><Relationship Id="rId77" Type="http://schemas.openxmlformats.org/officeDocument/2006/relationships/hyperlink" Target="https://www.mdpi.com/2073-4441/17/14/2138" TargetMode="External"/><Relationship Id="rId100" Type="http://schemas.openxmlformats.org/officeDocument/2006/relationships/hyperlink" Target="https://www.sciencedirect.com/science/article/pii/S0043135420305558" TargetMode="External"/><Relationship Id="rId105" Type="http://schemas.openxmlformats.org/officeDocument/2006/relationships/hyperlink" Target="https://doi.org/10.3390/resources12090107" TargetMode="External"/><Relationship Id="rId8" Type="http://schemas.openxmlformats.org/officeDocument/2006/relationships/hyperlink" Target="https://www.mdpi.com/2079-9276/13/11/149" TargetMode="External"/><Relationship Id="rId51" Type="http://schemas.openxmlformats.org/officeDocument/2006/relationships/hyperlink" Target="https://www.tandfonline.com/doi/full/10.1080/02723646.2020.1751386" TargetMode="External"/><Relationship Id="rId72" Type="http://schemas.openxmlformats.org/officeDocument/2006/relationships/hyperlink" Target="https://www.mdpi.com/2079-9276/12/9/107" TargetMode="External"/><Relationship Id="rId93" Type="http://schemas.openxmlformats.org/officeDocument/2006/relationships/hyperlink" Target="https://www.mdpi.com/2073-4433/16/2/120" TargetMode="External"/><Relationship Id="rId98" Type="http://schemas.openxmlformats.org/officeDocument/2006/relationships/hyperlink" Target="https://www.sciencedirect.com/science/article/pii/S0043135420305558" TargetMode="External"/><Relationship Id="rId3" Type="http://schemas.openxmlformats.org/officeDocument/2006/relationships/hyperlink" Target="https://www.sciencedirect.com/science/article/pii/S157495412400445X" TargetMode="External"/><Relationship Id="rId25" Type="http://schemas.openxmlformats.org/officeDocument/2006/relationships/hyperlink" Target="https://www.nature.com/articles/s44221-023-00148-8" TargetMode="External"/><Relationship Id="rId46" Type="http://schemas.openxmlformats.org/officeDocument/2006/relationships/hyperlink" Target="https://www.sciencedirect.com/science/article/pii/S0013935124003165" TargetMode="External"/><Relationship Id="rId67" Type="http://schemas.openxmlformats.org/officeDocument/2006/relationships/hyperlink" Target="https://esajournals.onlinelibrary.wiley.com/doi/pdfdirect/10.1002/ecs2.4357" TargetMode="External"/><Relationship Id="rId20" Type="http://schemas.openxmlformats.org/officeDocument/2006/relationships/hyperlink" Target="https://ieeexplore.ieee.org/abstract/document/7008836" TargetMode="External"/><Relationship Id="rId41" Type="http://schemas.openxmlformats.org/officeDocument/2006/relationships/hyperlink" Target="https://centaur.reading.ac.uk/72001/1/Woolway_etal_SotC_2017.pdf" TargetMode="External"/><Relationship Id="rId62" Type="http://schemas.openxmlformats.org/officeDocument/2006/relationships/hyperlink" Target="https://agupubs.onlinelibrary.wiley.com/doi/full/10.1029/2010GL045059" TargetMode="External"/><Relationship Id="rId83" Type="http://schemas.openxmlformats.org/officeDocument/2006/relationships/hyperlink" Target="https://agupubs.onlinelibrary.wiley.com/doi/full/10.1029/2022JD038465" TargetMode="External"/><Relationship Id="rId88" Type="http://schemas.openxmlformats.org/officeDocument/2006/relationships/hyperlink" Target="https://www.mdpi.com/2073-4433/16/2/120" TargetMode="External"/><Relationship Id="rId111" Type="http://schemas.openxmlformats.org/officeDocument/2006/relationships/hyperlink" Target="https://www.mdpi.com/2072-4292/8/10/85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link.springer.com/article/10.1007/s11356-021-15621-8" TargetMode="External"/><Relationship Id="rId13" Type="http://schemas.openxmlformats.org/officeDocument/2006/relationships/hyperlink" Target="https://essd.copernicus.org/articles/10/727/2018/" TargetMode="External"/><Relationship Id="rId3" Type="http://schemas.openxmlformats.org/officeDocument/2006/relationships/hyperlink" Target="https://www.sciencedirect.com/science/article/pii/S157495412400445X" TargetMode="External"/><Relationship Id="rId7" Type="http://schemas.openxmlformats.org/officeDocument/2006/relationships/hyperlink" Target="https://www.mdpi.com/2073-4441/16/23/3347" TargetMode="External"/><Relationship Id="rId12" Type="http://schemas.openxmlformats.org/officeDocument/2006/relationships/hyperlink" Target="https://www.mdpi.com/2073-4433/16/2/120" TargetMode="External"/><Relationship Id="rId2" Type="http://schemas.openxmlformats.org/officeDocument/2006/relationships/hyperlink" Target="https://www.mdpi.com/2072-4292/10/7/990" TargetMode="External"/><Relationship Id="rId16" Type="http://schemas.openxmlformats.org/officeDocument/2006/relationships/printerSettings" Target="../printerSettings/printerSettings1.bin"/><Relationship Id="rId1" Type="http://schemas.openxmlformats.org/officeDocument/2006/relationships/hyperlink" Target="https://link-springer-com.ezproxy.waikato.ac.nz/article/10.1007/s11356-024-35173-x" TargetMode="External"/><Relationship Id="rId6" Type="http://schemas.openxmlformats.org/officeDocument/2006/relationships/hyperlink" Target="https://www.nature.com/articles/s41467-023-42262-x" TargetMode="External"/><Relationship Id="rId11" Type="http://schemas.openxmlformats.org/officeDocument/2006/relationships/hyperlink" Target="https://www.mdpi.com/2071-1050/13/17/9908" TargetMode="External"/><Relationship Id="rId5" Type="http://schemas.openxmlformats.org/officeDocument/2006/relationships/hyperlink" Target="https://aslopubs.onlinelibrary.wiley.com/doi/pdfdirect/10.1002/lno.10626" TargetMode="External"/><Relationship Id="rId15" Type="http://schemas.openxmlformats.org/officeDocument/2006/relationships/hyperlink" Target="https://agupubs.onlinelibrary.wiley.com/doi/full/10.1029/2010GL045059" TargetMode="External"/><Relationship Id="rId10" Type="http://schemas.openxmlformats.org/officeDocument/2006/relationships/hyperlink" Target="https://www.mdpi.com/2079-9276/13/11/149" TargetMode="External"/><Relationship Id="rId4" Type="http://schemas.openxmlformats.org/officeDocument/2006/relationships/hyperlink" Target="https://doi.org/10.1029/2022JD038465" TargetMode="External"/><Relationship Id="rId9" Type="http://schemas.openxmlformats.org/officeDocument/2006/relationships/hyperlink" Target="https://agupubs.onlinelibrary.wiley.com/doi/full/10.1029/2018GL078601" TargetMode="External"/><Relationship Id="rId14" Type="http://schemas.openxmlformats.org/officeDocument/2006/relationships/hyperlink" Target="https://agupubs.onlinelibrary.wiley.com/doi/full/10.1029/2009GL040846"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nature.com/articles/s44221-023-00148-8" TargetMode="External"/><Relationship Id="rId21" Type="http://schemas.openxmlformats.org/officeDocument/2006/relationships/hyperlink" Target="https://ieeexplore.ieee.org/abstract/document/7008836" TargetMode="External"/><Relationship Id="rId42" Type="http://schemas.openxmlformats.org/officeDocument/2006/relationships/hyperlink" Target="https://centaur.reading.ac.uk/72001/1/Woolway_etal_SotC_2017.pdf" TargetMode="External"/><Relationship Id="rId47" Type="http://schemas.openxmlformats.org/officeDocument/2006/relationships/hyperlink" Target="https://www.sciencedirect.com/science/article/pii/S0013935124003165" TargetMode="External"/><Relationship Id="rId63" Type="http://schemas.openxmlformats.org/officeDocument/2006/relationships/hyperlink" Target="https://agupubs.onlinelibrary.wiley.com/doi/full/10.1029/2022JD038465" TargetMode="External"/><Relationship Id="rId68" Type="http://schemas.openxmlformats.org/officeDocument/2006/relationships/hyperlink" Target="https://www.tandfonline.com/doi/full/10.1080/02723646.2020.1751386" TargetMode="External"/><Relationship Id="rId84" Type="http://schemas.openxmlformats.org/officeDocument/2006/relationships/hyperlink" Target="https://www.mdpi.com/2079-9276/12/9/107" TargetMode="External"/><Relationship Id="rId89" Type="http://schemas.openxmlformats.org/officeDocument/2006/relationships/hyperlink" Target="https://www.mdpi.com/2079-9276/12/9/107" TargetMode="External"/><Relationship Id="rId16" Type="http://schemas.openxmlformats.org/officeDocument/2006/relationships/hyperlink" Target="https://www.mdpi.com/2072-4292/9/7/723" TargetMode="External"/><Relationship Id="rId11" Type="http://schemas.openxmlformats.org/officeDocument/2006/relationships/hyperlink" Target="https://www.mdpi.com/2073-4433/16/2/120" TargetMode="External"/><Relationship Id="rId32" Type="http://schemas.openxmlformats.org/officeDocument/2006/relationships/hyperlink" Target="https://link-springer-com.ezproxy.waikato.ac.nz/article/10.1007/s11430-024-1527-4" TargetMode="External"/><Relationship Id="rId37" Type="http://schemas.openxmlformats.org/officeDocument/2006/relationships/hyperlink" Target="https://agupubs.onlinelibrary.wiley.com/doi/full/10.1029/2018GL078601" TargetMode="External"/><Relationship Id="rId53" Type="http://schemas.openxmlformats.org/officeDocument/2006/relationships/hyperlink" Target="https://www.nature.com/articles/s41467-021-21971-1" TargetMode="External"/><Relationship Id="rId58" Type="http://schemas.openxmlformats.org/officeDocument/2006/relationships/hyperlink" Target="https://www.mdpi.com/2079-9276/14/4/67" TargetMode="External"/><Relationship Id="rId74" Type="http://schemas.openxmlformats.org/officeDocument/2006/relationships/hyperlink" Target="https://agupubs.onlinelibrary.wiley.com/doi/full/10.1029/2009GL040846" TargetMode="External"/><Relationship Id="rId79" Type="http://schemas.openxmlformats.org/officeDocument/2006/relationships/hyperlink" Target="https://www.sciencedirect.com/science/article/pii/S0895981121004557" TargetMode="External"/><Relationship Id="rId5" Type="http://schemas.openxmlformats.org/officeDocument/2006/relationships/hyperlink" Target="https://www.nature.com/articles/s41467-023-42262-x" TargetMode="External"/><Relationship Id="rId90" Type="http://schemas.openxmlformats.org/officeDocument/2006/relationships/vmlDrawing" Target="../drawings/vmlDrawing2.vml"/><Relationship Id="rId14" Type="http://schemas.openxmlformats.org/officeDocument/2006/relationships/hyperlink" Target="https://www.mdpi.com/2072-4292/8/10/854" TargetMode="External"/><Relationship Id="rId22" Type="http://schemas.openxmlformats.org/officeDocument/2006/relationships/hyperlink" Target="https://agupubs.onlinelibrary.wiley.com/doi/full/10.1029/2017JG004321" TargetMode="External"/><Relationship Id="rId27" Type="http://schemas.openxmlformats.org/officeDocument/2006/relationships/hyperlink" Target="https://agupubs.onlinelibrary.wiley.com/doi/full/10.1002/2013WR014448" TargetMode="External"/><Relationship Id="rId30" Type="http://schemas.openxmlformats.org/officeDocument/2006/relationships/hyperlink" Target="https://link-springer-com.ezproxy.waikato.ac.nz/article/10.1007/s11430-024-1527-4" TargetMode="External"/><Relationship Id="rId35" Type="http://schemas.openxmlformats.org/officeDocument/2006/relationships/hyperlink" Target="https://agupubs.onlinelibrary.wiley.com/doi/full/10.1029/2019GL082752" TargetMode="External"/><Relationship Id="rId43" Type="http://schemas.openxmlformats.org/officeDocument/2006/relationships/hyperlink" Target="https://www.sciencedirect.com/science/article/pii/S2214581823002586" TargetMode="External"/><Relationship Id="rId48" Type="http://schemas.openxmlformats.org/officeDocument/2006/relationships/hyperlink" Target="https://www.sciencedirect.com/science/article/pii/S0048969722018022" TargetMode="External"/><Relationship Id="rId56" Type="http://schemas.openxmlformats.org/officeDocument/2006/relationships/hyperlink" Target="https://ieeexplore.ieee.org/abstract/document/7008836" TargetMode="External"/><Relationship Id="rId64" Type="http://schemas.openxmlformats.org/officeDocument/2006/relationships/hyperlink" Target="https://agupubs.onlinelibrary.wiley.com/doi/full/10.1029/2022JD038465" TargetMode="External"/><Relationship Id="rId69" Type="http://schemas.openxmlformats.org/officeDocument/2006/relationships/hyperlink" Target="https://agupubs.onlinelibrary.wiley.com/doi/full/10.1029/2024EA003910" TargetMode="External"/><Relationship Id="rId77" Type="http://schemas.openxmlformats.org/officeDocument/2006/relationships/hyperlink" Target="https://www.sciencedirect.com/science/article/pii/S0895981121004557" TargetMode="External"/><Relationship Id="rId8" Type="http://schemas.openxmlformats.org/officeDocument/2006/relationships/hyperlink" Target="https://agupubs.onlinelibrary.wiley.com/doi/full/10.1029/2018GL078601" TargetMode="External"/><Relationship Id="rId51" Type="http://schemas.openxmlformats.org/officeDocument/2006/relationships/hyperlink" Target="https://www.sciencedirect.com/science/article/pii/S0043135420305558" TargetMode="External"/><Relationship Id="rId72" Type="http://schemas.openxmlformats.org/officeDocument/2006/relationships/hyperlink" Target="https://www.frontiersin.org/journals/ecology-and-evolution/articles/10.3389/fevo.2022.984692/full" TargetMode="External"/><Relationship Id="rId80" Type="http://schemas.openxmlformats.org/officeDocument/2006/relationships/hyperlink" Target="https://esajournals.onlinelibrary.wiley.com/doi/pdfdirect/10.1002/ecs2.4357" TargetMode="External"/><Relationship Id="rId85" Type="http://schemas.openxmlformats.org/officeDocument/2006/relationships/hyperlink" Target="https://www.mdpi.com/2079-9276/12/9/107" TargetMode="External"/><Relationship Id="rId3" Type="http://schemas.openxmlformats.org/officeDocument/2006/relationships/hyperlink" Target="https://www.sciencedirect.com/science/article/pii/S157495412400445X" TargetMode="External"/><Relationship Id="rId12" Type="http://schemas.openxmlformats.org/officeDocument/2006/relationships/hyperlink" Target="https://agupubs.onlinelibrary.wiley.com/doi/full/10.1002/2014JD021615" TargetMode="External"/><Relationship Id="rId17" Type="http://schemas.openxmlformats.org/officeDocument/2006/relationships/hyperlink" Target="https://www.mdpi.com/2072-4292/9/7/723" TargetMode="External"/><Relationship Id="rId25" Type="http://schemas.openxmlformats.org/officeDocument/2006/relationships/hyperlink" Target="https://agupubs.onlinelibrary.wiley.com/doi/full/10.1029/2022JD038465" TargetMode="External"/><Relationship Id="rId33" Type="http://schemas.openxmlformats.org/officeDocument/2006/relationships/hyperlink" Target="https://www.mdpi.com/2072-4292/13/22/4535" TargetMode="External"/><Relationship Id="rId38" Type="http://schemas.openxmlformats.org/officeDocument/2006/relationships/hyperlink" Target="https://agupubs.onlinelibrary.wiley.com/doi/full/10.1029/2018GL078601" TargetMode="External"/><Relationship Id="rId46" Type="http://schemas.openxmlformats.org/officeDocument/2006/relationships/hyperlink" Target="https://www.sciencedirect.com/science/article/pii/S0013935124003165" TargetMode="External"/><Relationship Id="rId59" Type="http://schemas.openxmlformats.org/officeDocument/2006/relationships/hyperlink" Target="https://www.mdpi.com/2079-9276/14/4/67" TargetMode="External"/><Relationship Id="rId67" Type="http://schemas.openxmlformats.org/officeDocument/2006/relationships/hyperlink" Target="https://www.proquest.com/docview/2571500367?accountid=17287&amp;parentSessionId=Nt8kVhIVr4AxkPgmZGK0CsCFas3u1AHSNsqXgNfVtSg%3D&amp;pq-origsite=primo&amp;sourcetype=Scholarly%20Journals" TargetMode="External"/><Relationship Id="rId20" Type="http://schemas.openxmlformats.org/officeDocument/2006/relationships/hyperlink" Target="https://link-springer-com.ezproxy.waikato.ac.nz/article/10.1007/s10584-019-02465-y" TargetMode="External"/><Relationship Id="rId41" Type="http://schemas.openxmlformats.org/officeDocument/2006/relationships/hyperlink" Target="https://papers.ssrn.com/sol3/papers.cfm?abstract_id=5000849" TargetMode="External"/><Relationship Id="rId54" Type="http://schemas.openxmlformats.org/officeDocument/2006/relationships/hyperlink" Target="https://agupubs.onlinelibrary.wiley.com/doi/full/10.1029/2022JD038465" TargetMode="External"/><Relationship Id="rId62" Type="http://schemas.openxmlformats.org/officeDocument/2006/relationships/hyperlink" Target="https://www.sciencedirect.com/science/article/pii/S0043135420305558" TargetMode="External"/><Relationship Id="rId70" Type="http://schemas.openxmlformats.org/officeDocument/2006/relationships/hyperlink" Target="https://www.mdpi.com/2073-4441/17/3/385" TargetMode="External"/><Relationship Id="rId75" Type="http://schemas.openxmlformats.org/officeDocument/2006/relationships/hyperlink" Target="https://agupubs.onlinelibrary.wiley.com/doi/full/10.1029/2010GL045059" TargetMode="External"/><Relationship Id="rId83" Type="http://schemas.openxmlformats.org/officeDocument/2006/relationships/hyperlink" Target="https://www.mdpi.com/2079-9276/12/9/107" TargetMode="External"/><Relationship Id="rId88" Type="http://schemas.openxmlformats.org/officeDocument/2006/relationships/hyperlink" Target="https://www.mdpi.com/2079-9276/12/9/107" TargetMode="External"/><Relationship Id="rId91" Type="http://schemas.openxmlformats.org/officeDocument/2006/relationships/comments" Target="../comments2.xml"/><Relationship Id="rId1" Type="http://schemas.openxmlformats.org/officeDocument/2006/relationships/hyperlink" Target="https://link-springer-com.ezproxy.waikato.ac.nz/article/10.1007/s11356-024-35173-x" TargetMode="External"/><Relationship Id="rId6" Type="http://schemas.openxmlformats.org/officeDocument/2006/relationships/hyperlink" Target="https://www.mdpi.com/2073-4441/16/23/3347" TargetMode="External"/><Relationship Id="rId15" Type="http://schemas.openxmlformats.org/officeDocument/2006/relationships/hyperlink" Target="https://www.mdpi.com/2073-4441/12/2/405" TargetMode="External"/><Relationship Id="rId23" Type="http://schemas.openxmlformats.org/officeDocument/2006/relationships/hyperlink" Target="https://agupubs.onlinelibrary.wiley.com/doi/full/10.1029/2017JG004321" TargetMode="External"/><Relationship Id="rId28" Type="http://schemas.openxmlformats.org/officeDocument/2006/relationships/hyperlink" Target="https://link-springer-com.ezproxy.waikato.ac.nz/article/10.1007/s11430-024-1527-4" TargetMode="External"/><Relationship Id="rId36" Type="http://schemas.openxmlformats.org/officeDocument/2006/relationships/hyperlink" Target="https://agupubs.onlinelibrary.wiley.com/doi/full/10.1029/2018GL078601" TargetMode="External"/><Relationship Id="rId49" Type="http://schemas.openxmlformats.org/officeDocument/2006/relationships/hyperlink" Target="https://www.sciencedirect.com/science/article/pii/S0048969722018022" TargetMode="External"/><Relationship Id="rId57" Type="http://schemas.openxmlformats.org/officeDocument/2006/relationships/hyperlink" Target="https://www.tandfonline.com/doi/full/10.1080/02723646.2020.1751386" TargetMode="External"/><Relationship Id="rId10" Type="http://schemas.openxmlformats.org/officeDocument/2006/relationships/hyperlink" Target="https://www.mdpi.com/2071-1050/13/17/9908" TargetMode="External"/><Relationship Id="rId31" Type="http://schemas.openxmlformats.org/officeDocument/2006/relationships/hyperlink" Target="https://link-springer-com.ezproxy.waikato.ac.nz/article/10.1007/s11430-024-1527-4" TargetMode="External"/><Relationship Id="rId44" Type="http://schemas.openxmlformats.org/officeDocument/2006/relationships/hyperlink" Target="https://www.sciencedirect.com/science/article/pii/S2214581823002586" TargetMode="External"/><Relationship Id="rId52" Type="http://schemas.openxmlformats.org/officeDocument/2006/relationships/hyperlink" Target="https://agupubs.onlinelibrary.wiley.com/doi/full/10.1029/2018GL078601" TargetMode="External"/><Relationship Id="rId60" Type="http://schemas.openxmlformats.org/officeDocument/2006/relationships/hyperlink" Target="https://www.sciencedirect.com/science/article/pii/S1574954123003606" TargetMode="External"/><Relationship Id="rId65" Type="http://schemas.openxmlformats.org/officeDocument/2006/relationships/hyperlink" Target="https://agupubs.onlinelibrary.wiley.com/doi/full/10.1029/2022JD038465" TargetMode="External"/><Relationship Id="rId73" Type="http://schemas.openxmlformats.org/officeDocument/2006/relationships/hyperlink" Target="https://www.proquest.com/docview/2571500367?accountid=17287&amp;parentSessionId=Nt8kVhIVr4AxkPgmZGK0CsCFas3u1AHSNsqXgNfVtSg%3D&amp;pq-origsite=primo&amp;sourcetype=Scholarly%20Journals" TargetMode="External"/><Relationship Id="rId78" Type="http://schemas.openxmlformats.org/officeDocument/2006/relationships/hyperlink" Target="https://www.sciencedirect.com/science/article/pii/S0895981121004557" TargetMode="External"/><Relationship Id="rId81" Type="http://schemas.openxmlformats.org/officeDocument/2006/relationships/hyperlink" Target="https://www.sciencedirect.com/science/article/pii/S0895981121004557" TargetMode="External"/><Relationship Id="rId86" Type="http://schemas.openxmlformats.org/officeDocument/2006/relationships/hyperlink" Target="https://www.mdpi.com/2079-9276/12/9/107" TargetMode="External"/><Relationship Id="rId4" Type="http://schemas.openxmlformats.org/officeDocument/2006/relationships/hyperlink" Target="https://doi.org/10.1029/2022JD038465" TargetMode="External"/><Relationship Id="rId9" Type="http://schemas.openxmlformats.org/officeDocument/2006/relationships/hyperlink" Target="https://www.mdpi.com/2079-9276/13/11/149" TargetMode="External"/><Relationship Id="rId13" Type="http://schemas.openxmlformats.org/officeDocument/2006/relationships/hyperlink" Target="https://www.nature.com/articles/s41598-022-06363-9" TargetMode="External"/><Relationship Id="rId18" Type="http://schemas.openxmlformats.org/officeDocument/2006/relationships/hyperlink" Target="https://www.mdpi.com/2072-4292/9/7/723" TargetMode="External"/><Relationship Id="rId39" Type="http://schemas.openxmlformats.org/officeDocument/2006/relationships/hyperlink" Target="https://agupubs.onlinelibrary.wiley.com/doi/full/10.1029/2018GL078601" TargetMode="External"/><Relationship Id="rId34" Type="http://schemas.openxmlformats.org/officeDocument/2006/relationships/hyperlink" Target="https://hess.copernicus.org/articles/23/2093/2019/hess-23-2093-2019.html" TargetMode="External"/><Relationship Id="rId50" Type="http://schemas.openxmlformats.org/officeDocument/2006/relationships/hyperlink" Target="https://www.researchgate.net/profile/Bartosz-Czernecki/publication/324898662_The_impact_of_global_warming_on_lake_surface_water_temperature_in_Poland_-_The_application_of_empirical-statistical_downscaling_1971-2100/links/5c25017192851c22a34966d3/The-impact-of-global-warming-on-lake-surface-water-temperature-in-Poland-The-application-of-empirical-statistical-downscaling-1971-2100.pdf" TargetMode="External"/><Relationship Id="rId55" Type="http://schemas.openxmlformats.org/officeDocument/2006/relationships/hyperlink" Target="https://www.mdpi.com/2072-4292/10/7/990" TargetMode="External"/><Relationship Id="rId76" Type="http://schemas.openxmlformats.org/officeDocument/2006/relationships/hyperlink" Target="https://www-sciencedirect-com.ezproxy.waikato.ac.nz/science/article/pii/S1470160X24006228" TargetMode="External"/><Relationship Id="rId7" Type="http://schemas.openxmlformats.org/officeDocument/2006/relationships/hyperlink" Target="https://link.springer.com/article/10.1007/s11356-021-15621-8" TargetMode="External"/><Relationship Id="rId71" Type="http://schemas.openxmlformats.org/officeDocument/2006/relationships/hyperlink" Target="https://www.frontiersin.org/journals/ecology-and-evolution/articles/10.3389/fevo.2022.984692/full" TargetMode="External"/><Relationship Id="rId92" Type="http://schemas.microsoft.com/office/2017/10/relationships/threadedComment" Target="../threadedComments/threadedComment2.xml"/><Relationship Id="rId2" Type="http://schemas.openxmlformats.org/officeDocument/2006/relationships/hyperlink" Target="https://www.mdpi.com/2072-4292/10/7/990" TargetMode="External"/><Relationship Id="rId29" Type="http://schemas.openxmlformats.org/officeDocument/2006/relationships/hyperlink" Target="https://link-springer-com.ezproxy.waikato.ac.nz/article/10.1007/s11430-024-1527-4" TargetMode="External"/><Relationship Id="rId24" Type="http://schemas.openxmlformats.org/officeDocument/2006/relationships/hyperlink" Target="https://agupubs.onlinelibrary.wiley.com/doi/full/10.1029/2024EA003910" TargetMode="External"/><Relationship Id="rId40" Type="http://schemas.openxmlformats.org/officeDocument/2006/relationships/hyperlink" Target="https://link.springer.com/article/10.1007/s10584-021-03085-1" TargetMode="External"/><Relationship Id="rId45" Type="http://schemas.openxmlformats.org/officeDocument/2006/relationships/hyperlink" Target="https://www.sciencedirect.com/science/article/pii/S2214581823002586" TargetMode="External"/><Relationship Id="rId66" Type="http://schemas.openxmlformats.org/officeDocument/2006/relationships/hyperlink" Target="https://agupubs.onlinelibrary.wiley.com/doi/full/10.1029/2022JD038465" TargetMode="External"/><Relationship Id="rId87" Type="http://schemas.openxmlformats.org/officeDocument/2006/relationships/hyperlink" Target="https://www.mdpi.com/2079-9276/12/9/107" TargetMode="External"/><Relationship Id="rId61" Type="http://schemas.openxmlformats.org/officeDocument/2006/relationships/hyperlink" Target="https://www.mdpi.com/2072-4292/14/8/1774" TargetMode="External"/><Relationship Id="rId82" Type="http://schemas.openxmlformats.org/officeDocument/2006/relationships/hyperlink" Target="https://www.mdpi.com/2079-9276/12/9/107" TargetMode="External"/><Relationship Id="rId19" Type="http://schemas.openxmlformats.org/officeDocument/2006/relationships/hyperlink" Target="https://link-springer-com.ezproxy.waikato.ac.nz/article/10.1007/s10584-019-02465-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waponline.com/hr/article/52/4/916/83040/Relative-impacts-of-increases-of-solar-radiation" TargetMode="Externa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agupubs.onlinelibrary.wiley.com/doi/full/10.1029/2009GL040846" TargetMode="External"/><Relationship Id="rId7" Type="http://schemas.openxmlformats.org/officeDocument/2006/relationships/hyperlink" Target="https://www-sciencedirect-com.ezproxy.waikato.ac.nz/science/article/pii/S0048969717335453" TargetMode="External"/><Relationship Id="rId2" Type="http://schemas.openxmlformats.org/officeDocument/2006/relationships/hyperlink" Target="https://essd.copernicus.org/articles/10/727/2018/" TargetMode="External"/><Relationship Id="rId1" Type="http://schemas.openxmlformats.org/officeDocument/2006/relationships/hyperlink" Target="https://agupubs.onlinelibrary.wiley.com/doi/full/10.1029/2019WR025316" TargetMode="External"/><Relationship Id="rId6" Type="http://schemas.openxmlformats.org/officeDocument/2006/relationships/hyperlink" Target="https://www-sciencedirect-com.ezproxy.waikato.ac.nz/science/article/pii/S1470160X24006228" TargetMode="External"/><Relationship Id="rId5" Type="http://schemas.openxmlformats.org/officeDocument/2006/relationships/hyperlink" Target="https://www.scopus.com/inward/record.uri?eid=2-s2.0-85045190239&amp;partnerID=40&amp;md5=f1d165d05195b3d6a0473c8d831ea502" TargetMode="External"/><Relationship Id="rId10" Type="http://schemas.microsoft.com/office/2017/10/relationships/threadedComment" Target="../threadedComments/threadedComment3.xml"/><Relationship Id="rId4" Type="http://schemas.openxmlformats.org/officeDocument/2006/relationships/hyperlink" Target="https://agupubs.onlinelibrary.wiley.com/doi/full/10.1029/2010GL045059" TargetMode="Externa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8" Type="http://schemas.openxmlformats.org/officeDocument/2006/relationships/hyperlink" Target="https://link-springer-com.ezproxy.waikato.ac.nz/article/10.1007/s10584-019-02465-y" TargetMode="External"/><Relationship Id="rId13" Type="http://schemas.openxmlformats.org/officeDocument/2006/relationships/hyperlink" Target="https://agupubs.onlinelibrary.wiley.com/doi/full/10.1029/2024EA003910" TargetMode="External"/><Relationship Id="rId18" Type="http://schemas.openxmlformats.org/officeDocument/2006/relationships/hyperlink" Target="https://link-springer-com.ezproxy.waikato.ac.nz/article/10.1007/s11430-024-1527-4" TargetMode="External"/><Relationship Id="rId3" Type="http://schemas.openxmlformats.org/officeDocument/2006/relationships/hyperlink" Target="https://www.mdpi.com/2072-4292/8/10/854" TargetMode="External"/><Relationship Id="rId21" Type="http://schemas.openxmlformats.org/officeDocument/2006/relationships/hyperlink" Target="https://link-springer-com.ezproxy.waikato.ac.nz/article/10.1007/s11430-024-1527-4" TargetMode="External"/><Relationship Id="rId7" Type="http://schemas.openxmlformats.org/officeDocument/2006/relationships/hyperlink" Target="https://www.mdpi.com/2072-4292/9/7/723" TargetMode="External"/><Relationship Id="rId12" Type="http://schemas.openxmlformats.org/officeDocument/2006/relationships/hyperlink" Target="https://agupubs.onlinelibrary.wiley.com/doi/full/10.1029/2017JG004321" TargetMode="External"/><Relationship Id="rId17" Type="http://schemas.openxmlformats.org/officeDocument/2006/relationships/hyperlink" Target="https://link-springer-com.ezproxy.waikato.ac.nz/article/10.1007/s11430-024-1527-4" TargetMode="External"/><Relationship Id="rId2" Type="http://schemas.openxmlformats.org/officeDocument/2006/relationships/hyperlink" Target="https://www.nature.com/articles/s41598-022-06363-9" TargetMode="External"/><Relationship Id="rId16" Type="http://schemas.openxmlformats.org/officeDocument/2006/relationships/hyperlink" Target="https://agupubs.onlinelibrary.wiley.com/doi/full/10.1002/2013WR014448" TargetMode="External"/><Relationship Id="rId20" Type="http://schemas.openxmlformats.org/officeDocument/2006/relationships/hyperlink" Target="https://link-springer-com.ezproxy.waikato.ac.nz/article/10.1007/s11430-024-1527-4" TargetMode="External"/><Relationship Id="rId1" Type="http://schemas.openxmlformats.org/officeDocument/2006/relationships/hyperlink" Target="https://agupubs.onlinelibrary.wiley.com/doi/full/10.1002/2014JD021615" TargetMode="External"/><Relationship Id="rId6" Type="http://schemas.openxmlformats.org/officeDocument/2006/relationships/hyperlink" Target="https://www.mdpi.com/2072-4292/9/7/723" TargetMode="External"/><Relationship Id="rId11" Type="http://schemas.openxmlformats.org/officeDocument/2006/relationships/hyperlink" Target="https://agupubs.onlinelibrary.wiley.com/doi/full/10.1029/2017JG004321" TargetMode="External"/><Relationship Id="rId24" Type="http://schemas.openxmlformats.org/officeDocument/2006/relationships/hyperlink" Target="https://agupubs.onlinelibrary.wiley.com/doi/full/10.1029/2019GL082752" TargetMode="External"/><Relationship Id="rId5" Type="http://schemas.openxmlformats.org/officeDocument/2006/relationships/hyperlink" Target="https://www.mdpi.com/2072-4292/9/7/723" TargetMode="External"/><Relationship Id="rId15" Type="http://schemas.openxmlformats.org/officeDocument/2006/relationships/hyperlink" Target="https://www.nature.com/articles/s44221-023-00148-8" TargetMode="External"/><Relationship Id="rId23" Type="http://schemas.openxmlformats.org/officeDocument/2006/relationships/hyperlink" Target="https://hess.copernicus.org/articles/23/2093/2019/hess-23-2093-2019.html" TargetMode="External"/><Relationship Id="rId10" Type="http://schemas.openxmlformats.org/officeDocument/2006/relationships/hyperlink" Target="https://ieeexplore.ieee.org/abstract/document/7008836" TargetMode="External"/><Relationship Id="rId19" Type="http://schemas.openxmlformats.org/officeDocument/2006/relationships/hyperlink" Target="https://link-springer-com.ezproxy.waikato.ac.nz/article/10.1007/s11430-024-1527-4" TargetMode="External"/><Relationship Id="rId4" Type="http://schemas.openxmlformats.org/officeDocument/2006/relationships/hyperlink" Target="https://www.mdpi.com/2073-4441/12/2/405" TargetMode="External"/><Relationship Id="rId9" Type="http://schemas.openxmlformats.org/officeDocument/2006/relationships/hyperlink" Target="https://link-springer-com.ezproxy.waikato.ac.nz/article/10.1007/s10584-019-02465-y" TargetMode="External"/><Relationship Id="rId14" Type="http://schemas.openxmlformats.org/officeDocument/2006/relationships/hyperlink" Target="https://agupubs.onlinelibrary.wiley.com/doi/full/10.1029/2022JD038465" TargetMode="External"/><Relationship Id="rId22" Type="http://schemas.openxmlformats.org/officeDocument/2006/relationships/hyperlink" Target="https://www.mdpi.com/2072-4292/13/22/4535"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scopus.com/results/results.uri?st1=%22lake+surface+water+temperature%22+%22warming%22&amp;st2=&amp;s=TITLE-ABS-KEY%28%22lake+surface+water+temperature%22+%22warming%22%29&amp;limit=50&amp;origin=searchbasic&amp;sort=plf-f&amp;src=s&amp;sot=b&amp;sdt=b&amp;sessionSearchId=6053e64ab19bbcd086630b78a92eb55b" TargetMode="External"/><Relationship Id="rId2" Type="http://schemas.openxmlformats.org/officeDocument/2006/relationships/hyperlink" Target="https://scholar.google.com.au/scholar?hl=en&amp;as_sdt=0%2C5&amp;q=%22lake+surface+water+temperature%22+%22warming%22&amp;btnG=" TargetMode="External"/><Relationship Id="rId1" Type="http://schemas.openxmlformats.org/officeDocument/2006/relationships/hyperlink" Target="https://scholar.google.com.au/scholar?hl=en&amp;as_sdt=0%2C5&amp;q=%22lake+surface+water+temperature%22+%22warming%22&amp;btnG="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hyperlink" Target="https://www.scopus.com/results/results.uri?st1=%22lake+surface+water+temperature%22+%22warming%22&amp;st2=&amp;s=TITLE-ABS-KEY%28%22lake+surface+water+temperature%22+%22warming%22%29&amp;limit=50&amp;origin=searchbasic&amp;sort=plf-f&amp;src=s&amp;sot=b&amp;sdt=b&amp;sessionSearchId=6053e64ab19bbcd086630b78a92eb55b"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sciencedirect.com/science/article/pii/S0013935124003165" TargetMode="External"/><Relationship Id="rId18" Type="http://schemas.openxmlformats.org/officeDocument/2006/relationships/hyperlink" Target="https://www.sciencedirect.com/science/article/pii/S1470160X24006228" TargetMode="External"/><Relationship Id="rId26" Type="http://schemas.openxmlformats.org/officeDocument/2006/relationships/hyperlink" Target="https://www.sciencedirect.com/science/article/pii/S0895981121004557" TargetMode="External"/><Relationship Id="rId21" Type="http://schemas.openxmlformats.org/officeDocument/2006/relationships/hyperlink" Target="https://www.sciencedirect.com/science/article/pii/S1574954123003606" TargetMode="External"/><Relationship Id="rId34" Type="http://schemas.openxmlformats.org/officeDocument/2006/relationships/hyperlink" Target="https://www.mdpi.com/2079-9276/12/9/107" TargetMode="External"/><Relationship Id="rId7" Type="http://schemas.openxmlformats.org/officeDocument/2006/relationships/hyperlink" Target="https://centaur.reading.ac.uk/66480/1/Lake_surface_temperatures.pdf" TargetMode="External"/><Relationship Id="rId12" Type="http://schemas.openxmlformats.org/officeDocument/2006/relationships/hyperlink" Target="https://www.sciencedirect.com/science/article/pii/S0013935124003165" TargetMode="External"/><Relationship Id="rId17" Type="http://schemas.openxmlformats.org/officeDocument/2006/relationships/hyperlink" Target="https://www.sciencedirect.com/science/article/pii/S1470160X24006228" TargetMode="External"/><Relationship Id="rId25" Type="http://schemas.openxmlformats.org/officeDocument/2006/relationships/hyperlink" Target="https://www.sciencedirect.com/science/article/pii/S0895981121004557" TargetMode="External"/><Relationship Id="rId33" Type="http://schemas.openxmlformats.org/officeDocument/2006/relationships/hyperlink" Target="https://www.mdpi.com/2079-9276/12/9/107" TargetMode="External"/><Relationship Id="rId2" Type="http://schemas.openxmlformats.org/officeDocument/2006/relationships/hyperlink" Target="https://link.springer.com/article/10.1007/s10584-021-03085-1" TargetMode="External"/><Relationship Id="rId16" Type="http://schemas.openxmlformats.org/officeDocument/2006/relationships/hyperlink" Target="https://www.researchgate.net/profile/Bartosz-Czernecki/publication/324898662_The_impact_of_global_warming_on_lake_surface_water_temperature_in_Poland_-_The_application_of_empirical-statistical_downscaling_1971-2100/links/5c25017192851c22a34966d3/The-impact-of-global-warming-on-lake-surface-water-temperature-in-Poland-The-application-of-empirical-statistical-downscaling-1971-2100.pdf" TargetMode="External"/><Relationship Id="rId20" Type="http://schemas.openxmlformats.org/officeDocument/2006/relationships/hyperlink" Target="https://www.mdpi.com/2079-9276/14/4/67" TargetMode="External"/><Relationship Id="rId29" Type="http://schemas.openxmlformats.org/officeDocument/2006/relationships/hyperlink" Target="https://www.sciencedirect.com/science/article/pii/S0895981121004557" TargetMode="External"/><Relationship Id="rId1" Type="http://schemas.openxmlformats.org/officeDocument/2006/relationships/hyperlink" Target="https://ascelibrary.org/doi/pdf/10.1061/%28ASCE%29EE.1943-7870.0001050" TargetMode="External"/><Relationship Id="rId6" Type="http://schemas.openxmlformats.org/officeDocument/2006/relationships/hyperlink" Target="https://centaur.reading.ac.uk/72001/1/Woolway_etal_SotC_2017.pdf" TargetMode="External"/><Relationship Id="rId11" Type="http://schemas.openxmlformats.org/officeDocument/2006/relationships/hyperlink" Target="https://www.sciencedirect.com/science/article/pii/S2214581823002586" TargetMode="External"/><Relationship Id="rId24" Type="http://schemas.openxmlformats.org/officeDocument/2006/relationships/hyperlink" Target="https://www.sciencedirect.com/science/article/pii/S0895981121004557" TargetMode="External"/><Relationship Id="rId32" Type="http://schemas.openxmlformats.org/officeDocument/2006/relationships/hyperlink" Target="https://www.mdpi.com/2079-9276/12/9/107" TargetMode="External"/><Relationship Id="rId37" Type="http://schemas.openxmlformats.org/officeDocument/2006/relationships/hyperlink" Target="https://www.mdpi.com/2079-9276/12/9/107" TargetMode="External"/><Relationship Id="rId5" Type="http://schemas.openxmlformats.org/officeDocument/2006/relationships/hyperlink" Target="https://centaur.reading.ac.uk/72001/1/Woolway_etal_SotC_2017.pdf" TargetMode="External"/><Relationship Id="rId15" Type="http://schemas.openxmlformats.org/officeDocument/2006/relationships/hyperlink" Target="https://www.sciencedirect.com/science/article/pii/S0048969722018022" TargetMode="External"/><Relationship Id="rId23" Type="http://schemas.openxmlformats.org/officeDocument/2006/relationships/hyperlink" Target="https://www.mdpi.com/2079-9276/12/9/107" TargetMode="External"/><Relationship Id="rId28" Type="http://schemas.openxmlformats.org/officeDocument/2006/relationships/hyperlink" Target="https://esajournals.onlinelibrary.wiley.com/doi/pdfdirect/10.1002/ecs2.4357" TargetMode="External"/><Relationship Id="rId36" Type="http://schemas.openxmlformats.org/officeDocument/2006/relationships/hyperlink" Target="https://www.mdpi.com/2079-9276/12/9/107" TargetMode="External"/><Relationship Id="rId10" Type="http://schemas.openxmlformats.org/officeDocument/2006/relationships/hyperlink" Target="https://www.sciencedirect.com/science/article/pii/S2214581823002586" TargetMode="External"/><Relationship Id="rId19" Type="http://schemas.openxmlformats.org/officeDocument/2006/relationships/hyperlink" Target="https://www.mdpi.com/2079-9276/14/4/67" TargetMode="External"/><Relationship Id="rId31" Type="http://schemas.openxmlformats.org/officeDocument/2006/relationships/hyperlink" Target="https://www.mdpi.com/2079-9276/12/9/107" TargetMode="External"/><Relationship Id="rId4" Type="http://schemas.openxmlformats.org/officeDocument/2006/relationships/hyperlink" Target="https://centaur.reading.ac.uk/72001/1/Woolway_etal_SotC_2017.pdf" TargetMode="External"/><Relationship Id="rId9" Type="http://schemas.openxmlformats.org/officeDocument/2006/relationships/hyperlink" Target="https://www.sciencedirect.com/science/article/pii/S2214581823002586" TargetMode="External"/><Relationship Id="rId14" Type="http://schemas.openxmlformats.org/officeDocument/2006/relationships/hyperlink" Target="https://www.sciencedirect.com/science/article/pii/S0048969722018022" TargetMode="External"/><Relationship Id="rId22" Type="http://schemas.openxmlformats.org/officeDocument/2006/relationships/hyperlink" Target="https://www.int-res.com/articles/cr_oa/c086p125.pdf" TargetMode="External"/><Relationship Id="rId27" Type="http://schemas.openxmlformats.org/officeDocument/2006/relationships/hyperlink" Target="https://www.sciencedirect.com/science/article/pii/S0895981121004557" TargetMode="External"/><Relationship Id="rId30" Type="http://schemas.openxmlformats.org/officeDocument/2006/relationships/hyperlink" Target="https://www.sciencedirect.com/science/article/pii/S0895981121004557" TargetMode="External"/><Relationship Id="rId35" Type="http://schemas.openxmlformats.org/officeDocument/2006/relationships/hyperlink" Target="https://www.mdpi.com/2079-9276/12/9/107" TargetMode="External"/><Relationship Id="rId8" Type="http://schemas.openxmlformats.org/officeDocument/2006/relationships/hyperlink" Target="https://www.sciencedirect.com/science/article/pii/S2214581823002586" TargetMode="External"/><Relationship Id="rId3" Type="http://schemas.openxmlformats.org/officeDocument/2006/relationships/hyperlink" Target="https://papers.ssrn.com/sol3/papers.cfm?abstract_id=500084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centaur.reading.ac.uk/49732/" TargetMode="External"/><Relationship Id="rId3" Type="http://schemas.openxmlformats.org/officeDocument/2006/relationships/hyperlink" Target="https://doi.org/10.1115/POWER2011-55443" TargetMode="External"/><Relationship Id="rId7" Type="http://schemas.openxmlformats.org/officeDocument/2006/relationships/hyperlink" Target="https://doi.org/10.1061/(ASCE)EE.1943-7870.0001050" TargetMode="External"/><Relationship Id="rId2" Type="http://schemas.openxmlformats.org/officeDocument/2006/relationships/hyperlink" Target="https://doi.org/10.1016/j.jhydrol.2023.129413" TargetMode="External"/><Relationship Id="rId1" Type="http://schemas.openxmlformats.org/officeDocument/2006/relationships/hyperlink" Target="https://doi.org/10.1061/(ASCE)EE.1943-7870.0001050" TargetMode="External"/><Relationship Id="rId6" Type="http://schemas.openxmlformats.org/officeDocument/2006/relationships/hyperlink" Target="https://doi-org.ezproxy.waikato.ac.nz/10.1111/j.1365-2427.2010.02548.x" TargetMode="External"/><Relationship Id="rId5" Type="http://schemas.openxmlformats.org/officeDocument/2006/relationships/hyperlink" Target="https://doi.org/10.1128/mbio.02395-17" TargetMode="External"/><Relationship Id="rId4" Type="http://schemas.openxmlformats.org/officeDocument/2006/relationships/hyperlink" Target="https://doi.org/10.1016/j.jhydrol.2021.126206"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mdpi.com/2072-4292/10/7/990" TargetMode="External"/><Relationship Id="rId18" Type="http://schemas.openxmlformats.org/officeDocument/2006/relationships/hyperlink" Target="https://www.scopus.com/inward/record.uri?eid=2-s2.0-85151411016&amp;doi=10.3390%2fland12030547&amp;partnerID=40&amp;md5=56ee6b78579144bc96153f8da33fadf9" TargetMode="External"/><Relationship Id="rId26" Type="http://schemas.openxmlformats.org/officeDocument/2006/relationships/hyperlink" Target="https://www.scopus.com/inward/record.uri?eid=2-s2.0-85147545824&amp;doi=10.1016%2fj.jhydrol.2023.129184&amp;partnerID=40&amp;md5=a4dcfd2eb26563ba6295b7998f292363" TargetMode="External"/><Relationship Id="rId39" Type="http://schemas.openxmlformats.org/officeDocument/2006/relationships/hyperlink" Target="https://www.scopus.com/inward/record.uri?eid=2-s2.0-84922601401&amp;doi=10.1016%2fj.jaridenv.2015.02.002&amp;partnerID=40&amp;md5=6d1b57acaaa10e253268936653e0d1eb" TargetMode="External"/><Relationship Id="rId21" Type="http://schemas.openxmlformats.org/officeDocument/2006/relationships/hyperlink" Target="https://www.scopus.com/inward/record.uri?eid=2-s2.0-85121223370&amp;doi=10.5194%2fgmd-14-7527-2021&amp;partnerID=40&amp;md5=deb44a5c1b7a0971dde8f649dfe9c6f5" TargetMode="External"/><Relationship Id="rId34" Type="http://schemas.openxmlformats.org/officeDocument/2006/relationships/hyperlink" Target="https://www.scopus.com/inward/record.uri?eid=2-s2.0-85081730515&amp;doi=10.3390%2fw12020405&amp;partnerID=40&amp;md5=92400a8487bdb17e2bcc58362b9de319" TargetMode="External"/><Relationship Id="rId42" Type="http://schemas.openxmlformats.org/officeDocument/2006/relationships/hyperlink" Target="https://www.scopus.com/inward/record.uri?eid=2-s2.0-85198755568&amp;doi=10.1016%2fj.scitotenv.2024.174616&amp;partnerID=40&amp;md5=79975080bc928673cc1f31dc23acc044" TargetMode="External"/><Relationship Id="rId7" Type="http://schemas.openxmlformats.org/officeDocument/2006/relationships/hyperlink" Target="https://agupubs.onlinelibrary.wiley.com/doi/full/10.1029/2022JD038465" TargetMode="External"/><Relationship Id="rId2" Type="http://schemas.openxmlformats.org/officeDocument/2006/relationships/hyperlink" Target="https://www.scielo.br/j/rbrh/a/k9stnsghbvKTphrNLR7T6WC/?lang=en" TargetMode="External"/><Relationship Id="rId16" Type="http://schemas.openxmlformats.org/officeDocument/2006/relationships/hyperlink" Target="https://agupubs.onlinelibrary.wiley.com/doi/full/10.1029/2017JG004321" TargetMode="External"/><Relationship Id="rId20" Type="http://schemas.openxmlformats.org/officeDocument/2006/relationships/hyperlink" Target="https://www.scopus.com/inward/record.uri?eid=2-s2.0-85138246348&amp;doi=10.3389%2ffenvs.2022.991502&amp;partnerID=40&amp;md5=800908a0f4a2f230afdf16238a12649f" TargetMode="External"/><Relationship Id="rId29" Type="http://schemas.openxmlformats.org/officeDocument/2006/relationships/hyperlink" Target="https://link.springer.com/article/10.1007/s11356-020-12093-0" TargetMode="External"/><Relationship Id="rId41" Type="http://schemas.openxmlformats.org/officeDocument/2006/relationships/hyperlink" Target="https://www.scopus.com/inward/record.uri?eid=2-s2.0-85047387679&amp;partnerID=40&amp;md5=8ce2a4b8b592dbb6ae09f9276d72e87d" TargetMode="External"/><Relationship Id="rId1" Type="http://schemas.openxmlformats.org/officeDocument/2006/relationships/hyperlink" Target="https://www.nature.com/articles/s41467-021-21971-1" TargetMode="External"/><Relationship Id="rId6" Type="http://schemas.openxmlformats.org/officeDocument/2006/relationships/hyperlink" Target="https://agupubs.onlinelibrary.wiley.com/doi/full/10.1029/2022JD038465" TargetMode="External"/><Relationship Id="rId11" Type="http://schemas.openxmlformats.org/officeDocument/2006/relationships/hyperlink" Target="https://centaur.reading.ac.uk/49732/" TargetMode="External"/><Relationship Id="rId24" Type="http://schemas.openxmlformats.org/officeDocument/2006/relationships/hyperlink" Target="https://agupubs.onlinelibrary.wiley.com/doi/full/10.1029/2018GL078601" TargetMode="External"/><Relationship Id="rId32" Type="http://schemas.openxmlformats.org/officeDocument/2006/relationships/hyperlink" Target="https://www.scopus.com/inward/record.uri?eid=2-s2.0-85138479645&amp;doi=10.1016%2fj.quascirev.2022.107767&amp;partnerID=40&amp;md5=3088021354a67219bbf7e8a623e1c335" TargetMode="External"/><Relationship Id="rId37" Type="http://schemas.openxmlformats.org/officeDocument/2006/relationships/hyperlink" Target="https://www.scopus.com/inward/record.uri?eid=2-s2.0-85141632269&amp;doi=10.3389%2ffevo.2022.984692&amp;partnerID=40&amp;md5=0adfaa30487294ecc19f7a7183eeeab8" TargetMode="External"/><Relationship Id="rId40" Type="http://schemas.openxmlformats.org/officeDocument/2006/relationships/hyperlink" Target="https://www.scopus.com/inward/record.uri?eid=2-s2.0-85050944235&amp;doi=10.1002%2flno.10941&amp;partnerID=40&amp;md5=41b84d087a85a22f852eede5947d1ac9" TargetMode="External"/><Relationship Id="rId5" Type="http://schemas.openxmlformats.org/officeDocument/2006/relationships/hyperlink" Target="https://agupubs.onlinelibrary.wiley.com/doi/full/10.1029/2021EA001737" TargetMode="External"/><Relationship Id="rId15" Type="http://schemas.openxmlformats.org/officeDocument/2006/relationships/hyperlink" Target="https://www.scopus.com/inward/record.uri?eid=2-s2.0-85146427360&amp;doi=10.18307%2f2023.0125&amp;partnerID=40&amp;md5=caa801220f63907a12b28d0e0241bee7" TargetMode="External"/><Relationship Id="rId23" Type="http://schemas.openxmlformats.org/officeDocument/2006/relationships/hyperlink" Target="https://www.scopus.com/inward/record.uri?eid=2-s2.0-85076053006&amp;doi=10.1016%2fj.scitotenv.2019.135567&amp;partnerID=40&amp;md5=08d9c1ffffae65d73b46683c88494c0d" TargetMode="External"/><Relationship Id="rId28" Type="http://schemas.openxmlformats.org/officeDocument/2006/relationships/hyperlink" Target="https://www.sciencedirect.com/science/article/pii/S0043135420305558" TargetMode="External"/><Relationship Id="rId36" Type="http://schemas.openxmlformats.org/officeDocument/2006/relationships/hyperlink" Target="https://www.scopus.com/inward/record.uri?eid=2-s2.0-85217579513&amp;doi=10.3390%2fw17030385&amp;partnerID=40&amp;md5=bd64ac86ce24357ea8011949b01272c4" TargetMode="External"/><Relationship Id="rId10" Type="http://schemas.openxmlformats.org/officeDocument/2006/relationships/hyperlink" Target="https://ieeexplore.ieee.org/abstract/document/9832434" TargetMode="External"/><Relationship Id="rId19" Type="http://schemas.openxmlformats.org/officeDocument/2006/relationships/hyperlink" Target="https://agupubs.onlinelibrary.wiley.com/doi/full/10.1029/2024EA003910" TargetMode="External"/><Relationship Id="rId31" Type="http://schemas.openxmlformats.org/officeDocument/2006/relationships/hyperlink" Target="https://ieeexplore.ieee.org/abstract/document/9428586" TargetMode="External"/><Relationship Id="rId4" Type="http://schemas.openxmlformats.org/officeDocument/2006/relationships/hyperlink" Target="https://www.scopus.com/inward/record.uri?eid=2-s2.0-85134374757&amp;doi=10.4081%2fjlimnol.2022.2048&amp;partnerID=40&amp;md5=03966e874d7519fc68f178d3d31e5e27" TargetMode="External"/><Relationship Id="rId9" Type="http://schemas.openxmlformats.org/officeDocument/2006/relationships/hyperlink" Target="https://agupubs.onlinelibrary.wiley.com/doi/full/10.1029/2018JC014451" TargetMode="External"/><Relationship Id="rId14" Type="http://schemas.openxmlformats.org/officeDocument/2006/relationships/hyperlink" Target="https://ieeexplore.ieee.org/abstract/document/7008836" TargetMode="External"/><Relationship Id="rId22" Type="http://schemas.openxmlformats.org/officeDocument/2006/relationships/hyperlink" Target="https://www.scopus.com/inward/record.uri?eid=2-s2.0-85132912876&amp;doi=10.1029%2f2021WR031755&amp;partnerID=40&amp;md5=8d59ee0352a90e56355e004bb6742223" TargetMode="External"/><Relationship Id="rId27" Type="http://schemas.openxmlformats.org/officeDocument/2006/relationships/hyperlink" Target="https://www.nature.com/articles/s41598-022-06363-9" TargetMode="External"/><Relationship Id="rId30" Type="http://schemas.openxmlformats.org/officeDocument/2006/relationships/hyperlink" Target="https://www.sciencedirect.com/science/article/pii/S0959652620327360" TargetMode="External"/><Relationship Id="rId35" Type="http://schemas.openxmlformats.org/officeDocument/2006/relationships/hyperlink" Target="https://www.frontiersin.org/journals/ecology-and-evolution/articles/10.3389/fevo.2022.984692/full" TargetMode="External"/><Relationship Id="rId8" Type="http://schemas.openxmlformats.org/officeDocument/2006/relationships/hyperlink" Target="https://www.scopus.com/inward/record.uri?eid=2-s2.0-85060647329&amp;doi=10.1029%2f2018JC014451&amp;partnerID=40&amp;md5=630c72a8b9aa4bc40cf870dabdcbe1c7" TargetMode="External"/><Relationship Id="rId3" Type="http://schemas.openxmlformats.org/officeDocument/2006/relationships/hyperlink" Target="https://www.mdpi.com/2072-4292/14/15/3839" TargetMode="External"/><Relationship Id="rId12" Type="http://schemas.openxmlformats.org/officeDocument/2006/relationships/hyperlink" Target="https://gmd.copernicus.org/articles/9/2167/2016/" TargetMode="External"/><Relationship Id="rId17" Type="http://schemas.openxmlformats.org/officeDocument/2006/relationships/hyperlink" Target="https://www.mdpi.com/2073-445X/12/3/547" TargetMode="External"/><Relationship Id="rId25" Type="http://schemas.openxmlformats.org/officeDocument/2006/relationships/hyperlink" Target="https://www.scopus.com/inward/record.uri?eid=2-s2.0-85055136476&amp;doi=10.1029%2f2018GL078601&amp;partnerID=40&amp;md5=3f860b17531b2432dd6aaaf7a2c95029" TargetMode="External"/><Relationship Id="rId33" Type="http://schemas.openxmlformats.org/officeDocument/2006/relationships/hyperlink" Target="https://www.mdpi.com/2073-4441/12/2/405" TargetMode="External"/><Relationship Id="rId38" Type="http://schemas.openxmlformats.org/officeDocument/2006/relationships/hyperlink" Target="https://www.scopus.com/inward/record.uri?eid=2-s2.0-84906666503&amp;doi=10.4028%2fwww.scientific.net%2fAMR.1008-1009.1336&amp;partnerID=40&amp;md5=8ec9299954bd9d88d3edf9e92f5054b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8BCA6-36F3-4FD7-AF56-A5322AF41897}">
  <dimension ref="A1:AE185"/>
  <sheetViews>
    <sheetView tabSelected="1" workbookViewId="0">
      <pane ySplit="1" topLeftCell="A162" activePane="bottomLeft" state="frozen"/>
      <selection pane="bottomLeft" activeCell="A185" sqref="A185:XFD185"/>
    </sheetView>
  </sheetViews>
  <sheetFormatPr defaultRowHeight="15" customHeight="1"/>
  <cols>
    <col min="1" max="1" width="10.68359375" customWidth="1"/>
    <col min="2" max="2" width="11" customWidth="1"/>
    <col min="3" max="3" width="8.3671875" customWidth="1"/>
    <col min="4" max="4" width="8.15625" customWidth="1"/>
    <col min="6" max="6" width="10.9453125" customWidth="1"/>
    <col min="7" max="7" width="8.26171875" customWidth="1"/>
    <col min="8" max="8" width="9.578125" customWidth="1"/>
    <col min="9" max="9" width="10.578125" customWidth="1"/>
    <col min="10" max="10" width="15.1015625" customWidth="1"/>
    <col min="11" max="11" width="10.47265625" customWidth="1"/>
    <col min="12" max="12" width="13.41796875" customWidth="1"/>
    <col min="14" max="14" width="8.83984375" customWidth="1"/>
    <col min="15" max="15" width="12.15625" bestFit="1" customWidth="1"/>
    <col min="16" max="16" width="6.68359375" hidden="1" customWidth="1"/>
    <col min="17" max="17" width="27.41796875" customWidth="1"/>
    <col min="18" max="18" width="30.83984375" hidden="1" customWidth="1"/>
    <col min="19" max="19" width="7.5234375" hidden="1" customWidth="1"/>
    <col min="20" max="20" width="8.26171875" customWidth="1"/>
    <col min="21" max="21" width="0" hidden="1" customWidth="1"/>
    <col min="23" max="23" width="12.62890625" customWidth="1"/>
    <col min="26" max="26" width="36.578125" bestFit="1" customWidth="1"/>
  </cols>
  <sheetData>
    <row r="1" spans="1:25" ht="4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t="s">
        <v>21</v>
      </c>
      <c r="W1" t="s">
        <v>22</v>
      </c>
      <c r="X1" t="s">
        <v>23</v>
      </c>
      <c r="Y1" t="s">
        <v>24</v>
      </c>
    </row>
    <row r="2" spans="1:25" ht="14.4">
      <c r="A2">
        <v>0.03</v>
      </c>
      <c r="B2" t="s">
        <v>536</v>
      </c>
      <c r="C2">
        <v>-15.8276375384684</v>
      </c>
      <c r="D2">
        <v>-69.411805662495794</v>
      </c>
      <c r="E2" t="s">
        <v>47</v>
      </c>
      <c r="F2" t="s">
        <v>372</v>
      </c>
      <c r="G2" t="s">
        <v>62</v>
      </c>
      <c r="H2" t="s">
        <v>537</v>
      </c>
      <c r="I2" t="s">
        <v>30</v>
      </c>
      <c r="J2" t="s">
        <v>263</v>
      </c>
      <c r="K2" t="s">
        <v>73</v>
      </c>
      <c r="L2">
        <v>1</v>
      </c>
      <c r="M2">
        <v>21</v>
      </c>
      <c r="N2">
        <v>2000</v>
      </c>
      <c r="O2">
        <v>2020</v>
      </c>
      <c r="P2" t="s">
        <v>140</v>
      </c>
      <c r="Q2" s="14" t="s">
        <v>538</v>
      </c>
      <c r="R2" s="9" t="s">
        <v>539</v>
      </c>
      <c r="S2" t="s">
        <v>540</v>
      </c>
      <c r="T2" t="s">
        <v>541</v>
      </c>
      <c r="U2" s="177" t="s">
        <v>542</v>
      </c>
      <c r="X2" t="s">
        <v>294</v>
      </c>
      <c r="Y2" t="s">
        <v>436</v>
      </c>
    </row>
    <row r="3" spans="1:25" ht="14.4">
      <c r="A3">
        <v>3.4000000000000002E-2</v>
      </c>
      <c r="B3" t="s">
        <v>536</v>
      </c>
      <c r="C3">
        <v>-15.8276375384684</v>
      </c>
      <c r="D3">
        <v>-69.411805662495794</v>
      </c>
      <c r="E3" t="s">
        <v>47</v>
      </c>
      <c r="F3" t="s">
        <v>372</v>
      </c>
      <c r="G3" t="s">
        <v>62</v>
      </c>
      <c r="H3" t="s">
        <v>537</v>
      </c>
      <c r="I3" t="s">
        <v>30</v>
      </c>
      <c r="J3" t="s">
        <v>265</v>
      </c>
      <c r="K3" t="s">
        <v>265</v>
      </c>
      <c r="L3">
        <v>1</v>
      </c>
      <c r="M3">
        <v>21</v>
      </c>
      <c r="N3">
        <v>2000</v>
      </c>
      <c r="O3">
        <v>2020</v>
      </c>
      <c r="P3" t="s">
        <v>140</v>
      </c>
      <c r="Q3" s="4" t="s">
        <v>543</v>
      </c>
      <c r="R3" s="9" t="s">
        <v>539</v>
      </c>
      <c r="S3" t="s">
        <v>540</v>
      </c>
      <c r="T3" t="s">
        <v>541</v>
      </c>
      <c r="U3" s="2" t="s">
        <v>542</v>
      </c>
      <c r="X3" t="s">
        <v>294</v>
      </c>
      <c r="Y3" t="s">
        <v>436</v>
      </c>
    </row>
    <row r="4" spans="1:25" ht="14.4">
      <c r="A4">
        <v>0.04</v>
      </c>
      <c r="B4" t="s">
        <v>536</v>
      </c>
      <c r="C4" s="60">
        <v>-16.352795</v>
      </c>
      <c r="D4">
        <v>-68.804789999999997</v>
      </c>
      <c r="E4" t="s">
        <v>47</v>
      </c>
      <c r="F4" t="s">
        <v>372</v>
      </c>
      <c r="G4" t="s">
        <v>62</v>
      </c>
      <c r="H4" t="s">
        <v>537</v>
      </c>
      <c r="I4" t="s">
        <v>30</v>
      </c>
      <c r="J4" t="s">
        <v>263</v>
      </c>
      <c r="K4" t="s">
        <v>73</v>
      </c>
      <c r="L4">
        <v>1</v>
      </c>
      <c r="M4">
        <v>21</v>
      </c>
      <c r="N4">
        <v>2000</v>
      </c>
      <c r="O4">
        <v>2020</v>
      </c>
      <c r="P4" t="s">
        <v>140</v>
      </c>
      <c r="Q4" s="14" t="s">
        <v>538</v>
      </c>
      <c r="R4" s="9" t="s">
        <v>539</v>
      </c>
      <c r="S4" t="s">
        <v>540</v>
      </c>
      <c r="T4" t="s">
        <v>544</v>
      </c>
      <c r="U4" s="2" t="s">
        <v>542</v>
      </c>
      <c r="X4" t="s">
        <v>294</v>
      </c>
      <c r="Y4" t="s">
        <v>436</v>
      </c>
    </row>
    <row r="5" spans="1:25" ht="14.4">
      <c r="A5">
        <v>0.03</v>
      </c>
      <c r="B5" t="s">
        <v>536</v>
      </c>
      <c r="C5" s="60">
        <v>-16.352795</v>
      </c>
      <c r="D5">
        <v>-68.804789999999997</v>
      </c>
      <c r="E5" t="s">
        <v>47</v>
      </c>
      <c r="F5" t="s">
        <v>372</v>
      </c>
      <c r="G5" t="s">
        <v>62</v>
      </c>
      <c r="H5" t="s">
        <v>537</v>
      </c>
      <c r="I5" t="s">
        <v>30</v>
      </c>
      <c r="J5" t="s">
        <v>265</v>
      </c>
      <c r="K5" t="s">
        <v>265</v>
      </c>
      <c r="L5">
        <v>1</v>
      </c>
      <c r="M5">
        <v>21</v>
      </c>
      <c r="N5">
        <v>2000</v>
      </c>
      <c r="O5">
        <v>2020</v>
      </c>
      <c r="P5" t="s">
        <v>140</v>
      </c>
      <c r="Q5" s="4" t="s">
        <v>543</v>
      </c>
      <c r="R5" s="9" t="s">
        <v>539</v>
      </c>
      <c r="S5" t="s">
        <v>540</v>
      </c>
      <c r="T5" t="s">
        <v>544</v>
      </c>
      <c r="U5" s="2" t="s">
        <v>542</v>
      </c>
      <c r="X5" t="s">
        <v>294</v>
      </c>
      <c r="Y5" t="s">
        <v>436</v>
      </c>
    </row>
    <row r="6" spans="1:25" ht="14.4">
      <c r="A6" s="8">
        <v>3.1E-2</v>
      </c>
      <c r="B6" s="8" t="s">
        <v>166</v>
      </c>
      <c r="C6" s="8">
        <v>42.66778</v>
      </c>
      <c r="D6" s="8">
        <v>-87.068600000000004</v>
      </c>
      <c r="E6" s="8" t="s">
        <v>47</v>
      </c>
      <c r="F6" s="8" t="s">
        <v>336</v>
      </c>
      <c r="G6" t="s">
        <v>62</v>
      </c>
      <c r="H6" s="8" t="s">
        <v>29</v>
      </c>
      <c r="I6" s="8" t="s">
        <v>30</v>
      </c>
      <c r="J6" s="8" t="s">
        <v>40</v>
      </c>
      <c r="K6" s="8" t="s">
        <v>40</v>
      </c>
      <c r="L6" s="8">
        <v>1</v>
      </c>
      <c r="M6" s="8">
        <v>23</v>
      </c>
      <c r="N6" s="8">
        <v>1995</v>
      </c>
      <c r="O6" s="8">
        <v>2018</v>
      </c>
      <c r="P6" s="8" t="s">
        <v>226</v>
      </c>
      <c r="Q6" s="8" t="s">
        <v>337</v>
      </c>
      <c r="R6" s="8" t="s">
        <v>338</v>
      </c>
      <c r="S6" s="41" t="s">
        <v>339</v>
      </c>
      <c r="T6" s="8" t="s">
        <v>340</v>
      </c>
      <c r="U6" s="29" t="s">
        <v>341</v>
      </c>
      <c r="X6" t="s">
        <v>335</v>
      </c>
      <c r="Y6" s="181" t="s">
        <v>294</v>
      </c>
    </row>
    <row r="7" spans="1:25" ht="14.4">
      <c r="A7">
        <v>0.01</v>
      </c>
      <c r="B7" t="s">
        <v>239</v>
      </c>
      <c r="C7">
        <v>-36.487302255059902</v>
      </c>
      <c r="D7">
        <v>-71.977205145355001</v>
      </c>
      <c r="E7" t="s">
        <v>37</v>
      </c>
      <c r="F7" t="s">
        <v>185</v>
      </c>
      <c r="G7" t="s">
        <v>62</v>
      </c>
      <c r="H7" t="s">
        <v>240</v>
      </c>
      <c r="I7" t="s">
        <v>30</v>
      </c>
      <c r="J7" t="s">
        <v>40</v>
      </c>
      <c r="K7" t="s">
        <v>40</v>
      </c>
      <c r="L7">
        <v>14</v>
      </c>
      <c r="M7">
        <f>O7-N7</f>
        <v>16</v>
      </c>
      <c r="N7">
        <v>2000</v>
      </c>
      <c r="O7">
        <v>2016</v>
      </c>
      <c r="P7" t="s">
        <v>226</v>
      </c>
      <c r="Q7" s="14" t="s">
        <v>241</v>
      </c>
      <c r="R7" t="s">
        <v>242</v>
      </c>
      <c r="S7" t="s">
        <v>172</v>
      </c>
      <c r="T7" t="s">
        <v>243</v>
      </c>
      <c r="U7" s="2" t="s">
        <v>244</v>
      </c>
      <c r="X7" t="s">
        <v>59</v>
      </c>
      <c r="Y7" t="s">
        <v>676</v>
      </c>
    </row>
    <row r="8" spans="1:25" ht="14.4">
      <c r="A8">
        <v>0.03</v>
      </c>
      <c r="B8" t="s">
        <v>667</v>
      </c>
      <c r="C8" s="60">
        <v>63.988048198599699</v>
      </c>
      <c r="D8" s="60">
        <v>-111.339789777617</v>
      </c>
      <c r="E8" t="s">
        <v>37</v>
      </c>
      <c r="F8" t="s">
        <v>296</v>
      </c>
      <c r="G8" t="s">
        <v>62</v>
      </c>
      <c r="H8" t="s">
        <v>297</v>
      </c>
      <c r="I8" t="s">
        <v>169</v>
      </c>
      <c r="J8" t="s">
        <v>298</v>
      </c>
      <c r="K8" t="s">
        <v>31</v>
      </c>
      <c r="L8">
        <v>535</v>
      </c>
      <c r="M8">
        <f>(O8-N8)</f>
        <v>37</v>
      </c>
      <c r="N8">
        <v>1984</v>
      </c>
      <c r="O8">
        <v>2021</v>
      </c>
      <c r="P8" t="s">
        <v>140</v>
      </c>
      <c r="Q8" s="14" t="s">
        <v>299</v>
      </c>
      <c r="R8" t="s">
        <v>300</v>
      </c>
      <c r="S8" t="s">
        <v>301</v>
      </c>
      <c r="T8" t="s">
        <v>2379</v>
      </c>
      <c r="U8" s="2" t="s">
        <v>303</v>
      </c>
      <c r="W8" t="s">
        <v>304</v>
      </c>
      <c r="X8" t="s">
        <v>294</v>
      </c>
      <c r="Y8" t="s">
        <v>59</v>
      </c>
    </row>
    <row r="9" spans="1:25" ht="14.4">
      <c r="A9">
        <v>0.03</v>
      </c>
      <c r="B9" t="s">
        <v>667</v>
      </c>
      <c r="C9" s="60">
        <v>63.988048198599699</v>
      </c>
      <c r="D9" s="60">
        <v>-111.339789777617</v>
      </c>
      <c r="E9" t="s">
        <v>37</v>
      </c>
      <c r="F9" t="s">
        <v>296</v>
      </c>
      <c r="G9" t="s">
        <v>62</v>
      </c>
      <c r="H9" t="s">
        <v>297</v>
      </c>
      <c r="I9" t="s">
        <v>169</v>
      </c>
      <c r="J9" t="s">
        <v>305</v>
      </c>
      <c r="K9" t="s">
        <v>81</v>
      </c>
      <c r="L9">
        <v>535</v>
      </c>
      <c r="M9">
        <f>(O9-N9)</f>
        <v>37</v>
      </c>
      <c r="N9">
        <v>1984</v>
      </c>
      <c r="O9">
        <v>2021</v>
      </c>
      <c r="P9" t="s">
        <v>140</v>
      </c>
      <c r="Q9" s="14" t="s">
        <v>299</v>
      </c>
      <c r="R9" t="s">
        <v>300</v>
      </c>
      <c r="S9" t="s">
        <v>301</v>
      </c>
      <c r="T9" t="s">
        <v>2379</v>
      </c>
      <c r="U9" s="2" t="s">
        <v>303</v>
      </c>
      <c r="W9" t="s">
        <v>304</v>
      </c>
      <c r="X9" t="s">
        <v>294</v>
      </c>
      <c r="Y9" t="s">
        <v>59</v>
      </c>
    </row>
    <row r="10" spans="1:25" ht="14.4">
      <c r="A10">
        <v>0.13</v>
      </c>
      <c r="B10" t="s">
        <v>667</v>
      </c>
      <c r="C10" s="60">
        <v>63.988048198599699</v>
      </c>
      <c r="D10" s="60">
        <v>-111.339789777617</v>
      </c>
      <c r="E10" t="s">
        <v>37</v>
      </c>
      <c r="F10" t="s">
        <v>296</v>
      </c>
      <c r="G10" t="s">
        <v>62</v>
      </c>
      <c r="H10" t="s">
        <v>297</v>
      </c>
      <c r="I10" t="s">
        <v>169</v>
      </c>
      <c r="J10" t="s">
        <v>306</v>
      </c>
      <c r="K10" t="s">
        <v>80</v>
      </c>
      <c r="L10">
        <v>535</v>
      </c>
      <c r="M10">
        <f>(O10-N10)</f>
        <v>37</v>
      </c>
      <c r="N10">
        <v>1984</v>
      </c>
      <c r="O10">
        <v>2021</v>
      </c>
      <c r="P10" t="s">
        <v>140</v>
      </c>
      <c r="Q10" s="14" t="s">
        <v>299</v>
      </c>
      <c r="R10" t="s">
        <v>300</v>
      </c>
      <c r="S10" t="s">
        <v>301</v>
      </c>
      <c r="T10" t="s">
        <v>2379</v>
      </c>
      <c r="U10" s="2" t="s">
        <v>303</v>
      </c>
      <c r="W10" t="s">
        <v>304</v>
      </c>
      <c r="X10" t="s">
        <v>294</v>
      </c>
      <c r="Y10" t="s">
        <v>59</v>
      </c>
    </row>
    <row r="11" spans="1:25" s="72" customFormat="1" ht="14.4">
      <c r="A11" s="72">
        <v>0.111</v>
      </c>
      <c r="B11" s="72" t="s">
        <v>278</v>
      </c>
      <c r="C11" s="72">
        <v>44.124699999999997</v>
      </c>
      <c r="D11" s="72">
        <v>73.869299999999996</v>
      </c>
      <c r="E11" s="72" t="s">
        <v>37</v>
      </c>
      <c r="F11" s="72" t="s">
        <v>279</v>
      </c>
      <c r="G11" s="72" t="s">
        <v>62</v>
      </c>
      <c r="H11" s="72" t="s">
        <v>84</v>
      </c>
      <c r="I11" s="72" t="s">
        <v>30</v>
      </c>
      <c r="J11" s="72" t="s">
        <v>40</v>
      </c>
      <c r="K11" s="72" t="s">
        <v>40</v>
      </c>
      <c r="L11" s="72">
        <v>135</v>
      </c>
      <c r="M11" s="72">
        <v>39</v>
      </c>
      <c r="N11" s="72">
        <v>1984</v>
      </c>
      <c r="O11" s="72">
        <v>2023</v>
      </c>
      <c r="P11" s="72" t="s">
        <v>140</v>
      </c>
      <c r="Q11" s="196" t="s">
        <v>280</v>
      </c>
      <c r="R11" s="196" t="s">
        <v>281</v>
      </c>
      <c r="S11" s="72" t="s">
        <v>282</v>
      </c>
      <c r="T11" s="72" t="s">
        <v>283</v>
      </c>
      <c r="U11" s="197" t="s">
        <v>284</v>
      </c>
      <c r="X11" s="72" t="s">
        <v>35</v>
      </c>
    </row>
    <row r="12" spans="1:25" ht="28.8">
      <c r="A12">
        <v>3.3000000000000002E-2</v>
      </c>
      <c r="B12" t="s">
        <v>646</v>
      </c>
      <c r="C12">
        <v>40</v>
      </c>
      <c r="D12">
        <v>95</v>
      </c>
      <c r="E12" t="s">
        <v>37</v>
      </c>
      <c r="F12" t="s">
        <v>647</v>
      </c>
      <c r="G12" t="s">
        <v>49</v>
      </c>
      <c r="H12" s="10" t="s">
        <v>605</v>
      </c>
      <c r="I12" t="s">
        <v>30</v>
      </c>
      <c r="J12" t="s">
        <v>648</v>
      </c>
      <c r="K12" t="s">
        <v>31</v>
      </c>
      <c r="L12">
        <v>1033</v>
      </c>
      <c r="M12">
        <v>42</v>
      </c>
      <c r="N12">
        <v>1981</v>
      </c>
      <c r="O12">
        <v>2023</v>
      </c>
      <c r="P12" s="124" t="s">
        <v>140</v>
      </c>
      <c r="Q12" s="175" t="s">
        <v>649</v>
      </c>
      <c r="R12" t="s">
        <v>650</v>
      </c>
      <c r="S12" t="s">
        <v>651</v>
      </c>
      <c r="U12" s="2" t="s">
        <v>652</v>
      </c>
      <c r="X12" t="s">
        <v>645</v>
      </c>
      <c r="Y12" t="s">
        <v>676</v>
      </c>
    </row>
    <row r="13" spans="1:25" ht="14.4">
      <c r="A13" s="23">
        <v>-1.2E-2</v>
      </c>
      <c r="B13" s="23" t="s">
        <v>483</v>
      </c>
      <c r="C13" s="23">
        <v>12.012765548296599</v>
      </c>
      <c r="D13" s="23">
        <v>37.286467110449998</v>
      </c>
      <c r="E13" t="s">
        <v>47</v>
      </c>
      <c r="F13" t="s">
        <v>484</v>
      </c>
      <c r="G13" t="s">
        <v>62</v>
      </c>
      <c r="H13" s="23" t="s">
        <v>485</v>
      </c>
      <c r="I13" s="23" t="s">
        <v>30</v>
      </c>
      <c r="J13" s="23" t="s">
        <v>40</v>
      </c>
      <c r="K13" t="s">
        <v>40</v>
      </c>
      <c r="L13" s="23">
        <v>1</v>
      </c>
      <c r="M13" s="23">
        <f t="shared" ref="M13:M20" si="0">O13-N13</f>
        <v>21</v>
      </c>
      <c r="N13" s="23">
        <v>2001</v>
      </c>
      <c r="O13" s="23">
        <v>2022</v>
      </c>
      <c r="P13" s="23" t="s">
        <v>226</v>
      </c>
      <c r="Q13" s="23" t="s">
        <v>486</v>
      </c>
      <c r="R13" s="23" t="s">
        <v>487</v>
      </c>
      <c r="S13" s="23" t="s">
        <v>55</v>
      </c>
      <c r="T13" s="23"/>
      <c r="U13" s="23" t="s">
        <v>488</v>
      </c>
      <c r="V13" s="23" t="s">
        <v>489</v>
      </c>
      <c r="W13" s="23"/>
      <c r="X13" s="23" t="s">
        <v>436</v>
      </c>
      <c r="Y13" t="s">
        <v>219</v>
      </c>
    </row>
    <row r="14" spans="1:25" ht="14.4">
      <c r="A14" s="23">
        <v>1E-3</v>
      </c>
      <c r="B14" s="23" t="s">
        <v>483</v>
      </c>
      <c r="C14" s="23">
        <v>12.012765548296599</v>
      </c>
      <c r="D14" s="23">
        <v>37.286467110449998</v>
      </c>
      <c r="E14" t="s">
        <v>47</v>
      </c>
      <c r="F14" t="s">
        <v>484</v>
      </c>
      <c r="G14" t="s">
        <v>62</v>
      </c>
      <c r="H14" s="23" t="s">
        <v>485</v>
      </c>
      <c r="I14" s="23" t="s">
        <v>30</v>
      </c>
      <c r="J14" s="23" t="s">
        <v>129</v>
      </c>
      <c r="K14" s="23" t="s">
        <v>490</v>
      </c>
      <c r="L14" s="23">
        <v>1</v>
      </c>
      <c r="M14" s="23">
        <f t="shared" si="0"/>
        <v>21</v>
      </c>
      <c r="N14" s="23">
        <v>2001</v>
      </c>
      <c r="O14" s="23">
        <v>2022</v>
      </c>
      <c r="P14" s="23" t="s">
        <v>226</v>
      </c>
      <c r="Q14" s="23" t="s">
        <v>486</v>
      </c>
      <c r="R14" s="23" t="s">
        <v>487</v>
      </c>
      <c r="S14" s="23" t="s">
        <v>55</v>
      </c>
      <c r="T14" s="23"/>
      <c r="U14" s="2" t="s">
        <v>488</v>
      </c>
      <c r="V14" s="23"/>
      <c r="W14" s="23"/>
      <c r="X14" s="23" t="s">
        <v>436</v>
      </c>
      <c r="Y14" t="s">
        <v>219</v>
      </c>
    </row>
    <row r="15" spans="1:25" ht="14.4">
      <c r="A15" s="23">
        <v>-1.2E-2</v>
      </c>
      <c r="B15" s="23" t="s">
        <v>483</v>
      </c>
      <c r="C15" s="23">
        <v>12.012765548296599</v>
      </c>
      <c r="D15" s="23">
        <v>37.286467110449998</v>
      </c>
      <c r="E15" t="s">
        <v>47</v>
      </c>
      <c r="F15" t="s">
        <v>484</v>
      </c>
      <c r="G15" t="s">
        <v>62</v>
      </c>
      <c r="H15" s="23" t="s">
        <v>485</v>
      </c>
      <c r="I15" s="23" t="s">
        <v>30</v>
      </c>
      <c r="J15" s="23" t="s">
        <v>129</v>
      </c>
      <c r="K15" t="s">
        <v>491</v>
      </c>
      <c r="L15" s="23">
        <v>1</v>
      </c>
      <c r="M15" s="23">
        <f t="shared" si="0"/>
        <v>21</v>
      </c>
      <c r="N15" s="23">
        <v>2001</v>
      </c>
      <c r="O15" s="23">
        <v>2022</v>
      </c>
      <c r="P15" s="23" t="s">
        <v>226</v>
      </c>
      <c r="Q15" s="23" t="s">
        <v>486</v>
      </c>
      <c r="R15" s="23" t="s">
        <v>487</v>
      </c>
      <c r="S15" s="23" t="s">
        <v>55</v>
      </c>
      <c r="T15" s="23"/>
      <c r="U15" s="23" t="s">
        <v>488</v>
      </c>
      <c r="V15" s="23"/>
      <c r="W15" s="23"/>
      <c r="X15" s="23" t="s">
        <v>436</v>
      </c>
      <c r="Y15" t="s">
        <v>219</v>
      </c>
    </row>
    <row r="16" spans="1:25" ht="14.4">
      <c r="A16" s="23">
        <v>-1.6E-2</v>
      </c>
      <c r="B16" s="23" t="s">
        <v>483</v>
      </c>
      <c r="C16" s="23">
        <v>12.012765548296599</v>
      </c>
      <c r="D16" s="23">
        <v>37.286467110449998</v>
      </c>
      <c r="E16" t="s">
        <v>47</v>
      </c>
      <c r="F16" t="s">
        <v>484</v>
      </c>
      <c r="G16" t="s">
        <v>62</v>
      </c>
      <c r="H16" s="23" t="s">
        <v>485</v>
      </c>
      <c r="I16" s="23" t="s">
        <v>30</v>
      </c>
      <c r="J16" s="23" t="s">
        <v>129</v>
      </c>
      <c r="K16" t="s">
        <v>492</v>
      </c>
      <c r="L16" s="23">
        <v>1</v>
      </c>
      <c r="M16" s="23">
        <f t="shared" si="0"/>
        <v>21</v>
      </c>
      <c r="N16" s="23">
        <v>2001</v>
      </c>
      <c r="O16" s="23">
        <v>2022</v>
      </c>
      <c r="P16" s="23" t="s">
        <v>226</v>
      </c>
      <c r="Q16" s="23" t="s">
        <v>486</v>
      </c>
      <c r="R16" s="23" t="s">
        <v>487</v>
      </c>
      <c r="S16" s="23" t="s">
        <v>55</v>
      </c>
      <c r="T16" s="23"/>
      <c r="U16" s="23" t="s">
        <v>488</v>
      </c>
      <c r="V16" s="23"/>
      <c r="W16" s="23"/>
      <c r="X16" s="23" t="s">
        <v>436</v>
      </c>
      <c r="Y16" t="s">
        <v>219</v>
      </c>
    </row>
    <row r="17" spans="1:25" ht="14.4">
      <c r="A17" s="23">
        <v>-1.2999999999999999E-2</v>
      </c>
      <c r="B17" s="23" t="s">
        <v>483</v>
      </c>
      <c r="C17" s="23">
        <v>12.012765548296599</v>
      </c>
      <c r="D17" s="23">
        <v>37.286467110449998</v>
      </c>
      <c r="E17" t="s">
        <v>47</v>
      </c>
      <c r="F17" t="s">
        <v>484</v>
      </c>
      <c r="G17" t="s">
        <v>62</v>
      </c>
      <c r="H17" s="23" t="s">
        <v>485</v>
      </c>
      <c r="I17" s="23" t="s">
        <v>30</v>
      </c>
      <c r="J17" s="23" t="s">
        <v>129</v>
      </c>
      <c r="K17" t="s">
        <v>493</v>
      </c>
      <c r="L17" s="23">
        <v>1</v>
      </c>
      <c r="M17" s="23">
        <f t="shared" si="0"/>
        <v>21</v>
      </c>
      <c r="N17" s="23">
        <v>2001</v>
      </c>
      <c r="O17" s="23">
        <v>2022</v>
      </c>
      <c r="P17" s="23" t="s">
        <v>226</v>
      </c>
      <c r="Q17" s="23" t="s">
        <v>486</v>
      </c>
      <c r="R17" s="23" t="s">
        <v>487</v>
      </c>
      <c r="S17" s="23" t="s">
        <v>55</v>
      </c>
      <c r="T17" s="23"/>
      <c r="U17" s="23" t="s">
        <v>488</v>
      </c>
      <c r="V17" s="23"/>
      <c r="W17" s="23"/>
      <c r="X17" s="23" t="s">
        <v>436</v>
      </c>
      <c r="Y17" t="s">
        <v>219</v>
      </c>
    </row>
    <row r="18" spans="1:25" ht="14.4">
      <c r="A18">
        <v>0.03</v>
      </c>
      <c r="B18" t="s">
        <v>166</v>
      </c>
      <c r="C18">
        <v>43.369140428149798</v>
      </c>
      <c r="D18">
        <v>-87.119313748859597</v>
      </c>
      <c r="E18" t="s">
        <v>47</v>
      </c>
      <c r="F18" t="s">
        <v>167</v>
      </c>
      <c r="G18" t="s">
        <v>62</v>
      </c>
      <c r="H18" t="s">
        <v>168</v>
      </c>
      <c r="I18" t="s">
        <v>169</v>
      </c>
      <c r="J18" t="s">
        <v>40</v>
      </c>
      <c r="K18" t="s">
        <v>40</v>
      </c>
      <c r="L18">
        <v>1</v>
      </c>
      <c r="M18">
        <f t="shared" si="0"/>
        <v>13</v>
      </c>
      <c r="N18">
        <v>2003</v>
      </c>
      <c r="O18">
        <v>2016</v>
      </c>
      <c r="P18" t="s">
        <v>140</v>
      </c>
      <c r="Q18" s="4" t="s">
        <v>170</v>
      </c>
      <c r="R18" t="s">
        <v>171</v>
      </c>
      <c r="S18" t="s">
        <v>172</v>
      </c>
      <c r="T18" t="s">
        <v>173</v>
      </c>
      <c r="U18" s="177" t="s">
        <v>174</v>
      </c>
      <c r="X18" t="s">
        <v>59</v>
      </c>
      <c r="Y18" t="s">
        <v>436</v>
      </c>
    </row>
    <row r="19" spans="1:25" ht="14.4">
      <c r="A19">
        <v>-0.03</v>
      </c>
      <c r="B19" t="s">
        <v>175</v>
      </c>
      <c r="C19">
        <v>26.952503469258499</v>
      </c>
      <c r="D19">
        <v>-80.8176710733824</v>
      </c>
      <c r="E19" t="s">
        <v>47</v>
      </c>
      <c r="F19" t="s">
        <v>167</v>
      </c>
      <c r="G19" t="s">
        <v>62</v>
      </c>
      <c r="H19" t="s">
        <v>168</v>
      </c>
      <c r="I19" t="s">
        <v>169</v>
      </c>
      <c r="J19" t="s">
        <v>40</v>
      </c>
      <c r="K19" t="s">
        <v>40</v>
      </c>
      <c r="L19">
        <v>1</v>
      </c>
      <c r="M19">
        <f t="shared" si="0"/>
        <v>13</v>
      </c>
      <c r="N19">
        <v>2003</v>
      </c>
      <c r="O19">
        <v>2016</v>
      </c>
      <c r="P19" t="s">
        <v>140</v>
      </c>
      <c r="Q19" s="4" t="s">
        <v>170</v>
      </c>
      <c r="R19" t="s">
        <v>171</v>
      </c>
      <c r="S19" t="s">
        <v>172</v>
      </c>
      <c r="T19" t="s">
        <v>173</v>
      </c>
      <c r="U19" s="177" t="s">
        <v>174</v>
      </c>
      <c r="X19" t="s">
        <v>59</v>
      </c>
      <c r="Y19" t="s">
        <v>436</v>
      </c>
    </row>
    <row r="20" spans="1:25" ht="14.4">
      <c r="A20">
        <v>0.02</v>
      </c>
      <c r="B20" t="s">
        <v>176</v>
      </c>
      <c r="C20">
        <v>43.207544751853398</v>
      </c>
      <c r="D20">
        <v>-75.922386118070307</v>
      </c>
      <c r="E20" t="s">
        <v>47</v>
      </c>
      <c r="F20" t="s">
        <v>167</v>
      </c>
      <c r="G20" t="s">
        <v>62</v>
      </c>
      <c r="H20" t="s">
        <v>168</v>
      </c>
      <c r="I20" t="s">
        <v>169</v>
      </c>
      <c r="J20" t="s">
        <v>40</v>
      </c>
      <c r="K20" t="s">
        <v>40</v>
      </c>
      <c r="L20">
        <v>1</v>
      </c>
      <c r="M20">
        <f t="shared" si="0"/>
        <v>13</v>
      </c>
      <c r="N20">
        <v>2003</v>
      </c>
      <c r="O20">
        <v>2016</v>
      </c>
      <c r="P20" t="s">
        <v>140</v>
      </c>
      <c r="Q20" s="4" t="s">
        <v>170</v>
      </c>
      <c r="R20" t="s">
        <v>171</v>
      </c>
      <c r="S20" t="s">
        <v>172</v>
      </c>
      <c r="T20" t="s">
        <v>173</v>
      </c>
      <c r="U20" s="177" t="s">
        <v>174</v>
      </c>
      <c r="X20" t="s">
        <v>59</v>
      </c>
      <c r="Y20" t="s">
        <v>436</v>
      </c>
    </row>
    <row r="21" spans="1:25" ht="14.4">
      <c r="A21">
        <v>3.6999999999999998E-2</v>
      </c>
      <c r="B21" t="s">
        <v>36</v>
      </c>
      <c r="C21" s="8">
        <v>54</v>
      </c>
      <c r="D21" s="8">
        <v>19</v>
      </c>
      <c r="E21" t="s">
        <v>37</v>
      </c>
      <c r="F21" t="s">
        <v>324</v>
      </c>
      <c r="G21" t="s">
        <v>103</v>
      </c>
      <c r="H21" t="s">
        <v>84</v>
      </c>
      <c r="I21" t="s">
        <v>30</v>
      </c>
      <c r="J21" t="s">
        <v>40</v>
      </c>
      <c r="K21" t="s">
        <v>40</v>
      </c>
      <c r="L21">
        <v>10</v>
      </c>
      <c r="M21">
        <f>(O21-N21)</f>
        <v>44</v>
      </c>
      <c r="N21">
        <v>1971</v>
      </c>
      <c r="O21">
        <v>2015</v>
      </c>
      <c r="P21" t="s">
        <v>140</v>
      </c>
      <c r="Q21" s="152" t="s">
        <v>325</v>
      </c>
      <c r="R21" t="s">
        <v>326</v>
      </c>
      <c r="S21" t="s">
        <v>327</v>
      </c>
      <c r="U21" s="2" t="s">
        <v>328</v>
      </c>
      <c r="W21" t="s">
        <v>329</v>
      </c>
      <c r="X21" t="s">
        <v>294</v>
      </c>
      <c r="Y21" t="s">
        <v>2380</v>
      </c>
    </row>
    <row r="22" spans="1:25" ht="14.4">
      <c r="A22">
        <v>0.106</v>
      </c>
      <c r="B22" t="s">
        <v>307</v>
      </c>
      <c r="C22">
        <v>42.118310634646498</v>
      </c>
      <c r="D22">
        <v>12.2442950735726</v>
      </c>
      <c r="E22" t="s">
        <v>47</v>
      </c>
      <c r="F22" t="s">
        <v>296</v>
      </c>
      <c r="G22" t="s">
        <v>62</v>
      </c>
      <c r="H22" t="s">
        <v>84</v>
      </c>
      <c r="I22" t="s">
        <v>30</v>
      </c>
      <c r="J22" t="s">
        <v>40</v>
      </c>
      <c r="K22" t="s">
        <v>40</v>
      </c>
      <c r="L22">
        <v>2</v>
      </c>
      <c r="M22">
        <f>(O22-N22)</f>
        <v>19</v>
      </c>
      <c r="N22">
        <v>2000</v>
      </c>
      <c r="O22">
        <v>2019</v>
      </c>
      <c r="P22" t="s">
        <v>140</v>
      </c>
      <c r="Q22" s="14" t="s">
        <v>308</v>
      </c>
      <c r="R22" t="s">
        <v>309</v>
      </c>
      <c r="S22" t="s">
        <v>172</v>
      </c>
      <c r="T22" t="s">
        <v>310</v>
      </c>
      <c r="X22" t="s">
        <v>294</v>
      </c>
      <c r="Y22" t="s">
        <v>436</v>
      </c>
    </row>
    <row r="23" spans="1:25" ht="14.4">
      <c r="A23">
        <v>5.2999999999999999E-2</v>
      </c>
      <c r="B23" t="s">
        <v>307</v>
      </c>
      <c r="C23">
        <v>42.118310634646498</v>
      </c>
      <c r="D23">
        <v>12.2442950735726</v>
      </c>
      <c r="E23" t="s">
        <v>47</v>
      </c>
      <c r="F23" t="s">
        <v>296</v>
      </c>
      <c r="G23" t="s">
        <v>62</v>
      </c>
      <c r="H23" t="s">
        <v>84</v>
      </c>
      <c r="I23" t="s">
        <v>30</v>
      </c>
      <c r="J23" t="s">
        <v>40</v>
      </c>
      <c r="K23" t="s">
        <v>40</v>
      </c>
      <c r="L23">
        <v>2</v>
      </c>
      <c r="M23">
        <f>(O23-N23)</f>
        <v>35</v>
      </c>
      <c r="N23">
        <v>1984</v>
      </c>
      <c r="O23">
        <v>2019</v>
      </c>
      <c r="P23" t="s">
        <v>140</v>
      </c>
      <c r="Q23" s="14" t="s">
        <v>311</v>
      </c>
      <c r="R23" t="s">
        <v>309</v>
      </c>
      <c r="S23" t="s">
        <v>172</v>
      </c>
      <c r="T23" t="s">
        <v>310</v>
      </c>
      <c r="X23" t="s">
        <v>294</v>
      </c>
      <c r="Y23" t="s">
        <v>436</v>
      </c>
    </row>
    <row r="24" spans="1:25" ht="14.4">
      <c r="A24">
        <v>5.8000000000000003E-2</v>
      </c>
      <c r="B24" t="s">
        <v>60</v>
      </c>
      <c r="C24" s="8">
        <v>56</v>
      </c>
      <c r="D24" s="9">
        <v>15</v>
      </c>
      <c r="E24" t="s">
        <v>37</v>
      </c>
      <c r="F24" t="s">
        <v>271</v>
      </c>
      <c r="G24" t="s">
        <v>103</v>
      </c>
      <c r="H24" t="s">
        <v>272</v>
      </c>
      <c r="I24" t="s">
        <v>134</v>
      </c>
      <c r="J24" t="s">
        <v>40</v>
      </c>
      <c r="K24" t="s">
        <v>40</v>
      </c>
      <c r="L24">
        <v>10</v>
      </c>
      <c r="M24">
        <v>49</v>
      </c>
      <c r="N24">
        <v>1966</v>
      </c>
      <c r="O24">
        <v>2015</v>
      </c>
      <c r="P24" t="s">
        <v>140</v>
      </c>
      <c r="Q24" s="58" t="s">
        <v>273</v>
      </c>
      <c r="R24" t="s">
        <v>274</v>
      </c>
      <c r="S24" t="s">
        <v>275</v>
      </c>
      <c r="T24" t="s">
        <v>276</v>
      </c>
      <c r="U24" s="2" t="s">
        <v>277</v>
      </c>
      <c r="W24" t="s">
        <v>69</v>
      </c>
      <c r="X24" t="s">
        <v>59</v>
      </c>
      <c r="Y24" t="s">
        <v>2380</v>
      </c>
    </row>
    <row r="25" spans="1:25" ht="14.4">
      <c r="A25" s="23">
        <v>3.0000000000000001E-3</v>
      </c>
      <c r="B25" s="23" t="s">
        <v>257</v>
      </c>
      <c r="C25" s="23">
        <v>24.8371023262591</v>
      </c>
      <c r="D25" s="23">
        <v>102.710885587985</v>
      </c>
      <c r="E25" t="s">
        <v>47</v>
      </c>
      <c r="F25" s="175" t="s">
        <v>410</v>
      </c>
      <c r="G25" s="23" t="s">
        <v>49</v>
      </c>
      <c r="H25" t="s">
        <v>390</v>
      </c>
      <c r="I25" t="s">
        <v>169</v>
      </c>
      <c r="J25" s="23" t="s">
        <v>40</v>
      </c>
      <c r="K25" s="23" t="s">
        <v>40</v>
      </c>
      <c r="L25" s="23">
        <v>1</v>
      </c>
      <c r="M25" s="23">
        <f>O25-N25</f>
        <v>114</v>
      </c>
      <c r="N25" s="23">
        <v>1900</v>
      </c>
      <c r="O25" s="23">
        <v>2014</v>
      </c>
      <c r="P25" s="23" t="s">
        <v>387</v>
      </c>
      <c r="Q25" s="23" t="s">
        <v>465</v>
      </c>
      <c r="R25" s="23" t="s">
        <v>466</v>
      </c>
      <c r="S25" s="23"/>
      <c r="T25" s="23" t="s">
        <v>467</v>
      </c>
      <c r="U25" s="27"/>
      <c r="V25" s="23"/>
      <c r="W25" t="s">
        <v>468</v>
      </c>
      <c r="X25" s="23" t="s">
        <v>436</v>
      </c>
      <c r="Y25" s="23" t="s">
        <v>59</v>
      </c>
    </row>
    <row r="26" spans="1:25" ht="144">
      <c r="A26" s="23">
        <v>0.06</v>
      </c>
      <c r="B26" s="23" t="s">
        <v>469</v>
      </c>
      <c r="C26" s="23">
        <v>25.978851923713702</v>
      </c>
      <c r="D26" s="23">
        <v>104.87335312714499</v>
      </c>
      <c r="E26" t="s">
        <v>37</v>
      </c>
      <c r="F26" s="23" t="s">
        <v>470</v>
      </c>
      <c r="G26" t="s">
        <v>62</v>
      </c>
      <c r="H26" s="23" t="s">
        <v>446</v>
      </c>
      <c r="I26" s="23" t="s">
        <v>30</v>
      </c>
      <c r="J26" s="23" t="s">
        <v>40</v>
      </c>
      <c r="K26" s="23" t="s">
        <v>40</v>
      </c>
      <c r="L26" s="23">
        <v>11</v>
      </c>
      <c r="M26" s="23">
        <f>O26-N26</f>
        <v>22</v>
      </c>
      <c r="N26" s="23">
        <v>2001</v>
      </c>
      <c r="O26" s="23">
        <v>2023</v>
      </c>
      <c r="P26" s="23" t="s">
        <v>226</v>
      </c>
      <c r="Q26" s="23" t="s">
        <v>471</v>
      </c>
      <c r="R26" s="23" t="s">
        <v>472</v>
      </c>
      <c r="S26" s="23" t="s">
        <v>461</v>
      </c>
      <c r="T26" s="23"/>
      <c r="U26" s="27" t="s">
        <v>473</v>
      </c>
      <c r="V26" s="23"/>
      <c r="W26" s="186" t="s">
        <v>474</v>
      </c>
      <c r="X26" s="23" t="s">
        <v>436</v>
      </c>
      <c r="Y26" s="23" t="s">
        <v>645</v>
      </c>
    </row>
    <row r="27" spans="1:25" s="72" customFormat="1" ht="14.4">
      <c r="A27" s="89">
        <v>2.5999999999999999E-2</v>
      </c>
      <c r="B27" s="89" t="s">
        <v>575</v>
      </c>
      <c r="C27" s="198">
        <v>25</v>
      </c>
      <c r="D27" s="198">
        <v>103</v>
      </c>
      <c r="E27" s="89" t="s">
        <v>47</v>
      </c>
      <c r="F27" s="89" t="s">
        <v>604</v>
      </c>
      <c r="G27" s="89" t="s">
        <v>49</v>
      </c>
      <c r="H27" s="89" t="s">
        <v>605</v>
      </c>
      <c r="I27" s="89" t="s">
        <v>30</v>
      </c>
      <c r="J27" s="89" t="s">
        <v>40</v>
      </c>
      <c r="K27" s="89" t="s">
        <v>40</v>
      </c>
      <c r="L27" s="89">
        <v>1</v>
      </c>
      <c r="M27" s="89">
        <v>69</v>
      </c>
      <c r="N27" s="89">
        <v>1951</v>
      </c>
      <c r="O27" s="89">
        <v>2020</v>
      </c>
      <c r="P27" s="89" t="s">
        <v>226</v>
      </c>
      <c r="Q27" s="199" t="s">
        <v>606</v>
      </c>
      <c r="R27" s="89" t="s">
        <v>472</v>
      </c>
      <c r="S27" s="89" t="s">
        <v>580</v>
      </c>
      <c r="T27" s="89"/>
      <c r="W27" s="200" t="s">
        <v>607</v>
      </c>
      <c r="X27" s="72" t="s">
        <v>219</v>
      </c>
    </row>
    <row r="28" spans="1:25" s="72" customFormat="1" ht="14.4">
      <c r="A28" s="72">
        <v>2.5999999999999999E-2</v>
      </c>
      <c r="B28" s="201" t="s">
        <v>678</v>
      </c>
      <c r="C28" s="198">
        <v>25</v>
      </c>
      <c r="D28" s="198">
        <v>103</v>
      </c>
      <c r="E28" s="72" t="s">
        <v>679</v>
      </c>
      <c r="F28" s="72" t="s">
        <v>604</v>
      </c>
      <c r="G28" s="72" t="s">
        <v>680</v>
      </c>
      <c r="H28" s="72" t="s">
        <v>390</v>
      </c>
      <c r="J28" s="72" t="s">
        <v>40</v>
      </c>
      <c r="K28" s="72" t="s">
        <v>40</v>
      </c>
      <c r="L28" s="72">
        <v>1</v>
      </c>
      <c r="M28" s="72">
        <v>69</v>
      </c>
      <c r="N28" s="72">
        <v>1951</v>
      </c>
      <c r="O28" s="72">
        <v>2020</v>
      </c>
      <c r="Q28" s="199" t="s">
        <v>606</v>
      </c>
      <c r="R28" s="89" t="s">
        <v>472</v>
      </c>
      <c r="S28" s="72" t="s">
        <v>681</v>
      </c>
      <c r="U28" s="197" t="s">
        <v>682</v>
      </c>
      <c r="W28" s="200" t="s">
        <v>607</v>
      </c>
      <c r="Y28" s="72" t="s">
        <v>676</v>
      </c>
    </row>
    <row r="29" spans="1:25" ht="14.4">
      <c r="A29">
        <v>4.5999999999999999E-2</v>
      </c>
      <c r="B29" t="s">
        <v>225</v>
      </c>
      <c r="C29">
        <v>47.6136432470812</v>
      </c>
      <c r="D29" s="9">
        <v>9.3988715367677091</v>
      </c>
      <c r="E29" t="s">
        <v>47</v>
      </c>
      <c r="F29" t="s">
        <v>177</v>
      </c>
      <c r="G29" t="s">
        <v>103</v>
      </c>
      <c r="H29" t="s">
        <v>84</v>
      </c>
      <c r="I29" t="s">
        <v>30</v>
      </c>
      <c r="J29" t="s">
        <v>40</v>
      </c>
      <c r="K29" t="s">
        <v>40</v>
      </c>
      <c r="L29">
        <v>1</v>
      </c>
      <c r="M29">
        <f>O29-N29</f>
        <v>30</v>
      </c>
      <c r="N29">
        <v>1981</v>
      </c>
      <c r="O29">
        <v>2011</v>
      </c>
      <c r="P29" t="s">
        <v>226</v>
      </c>
      <c r="Q29" s="14" t="s">
        <v>227</v>
      </c>
      <c r="R29" t="s">
        <v>228</v>
      </c>
      <c r="S29" t="s">
        <v>229</v>
      </c>
      <c r="T29" t="s">
        <v>230</v>
      </c>
      <c r="U29" s="2" t="s">
        <v>231</v>
      </c>
      <c r="X29" t="s">
        <v>59</v>
      </c>
      <c r="Y29" t="s">
        <v>335</v>
      </c>
    </row>
    <row r="30" spans="1:25" ht="14.4">
      <c r="A30" s="8">
        <v>7.0000000000000001E-3</v>
      </c>
      <c r="B30" s="8" t="s">
        <v>70</v>
      </c>
      <c r="C30" s="8">
        <v>32</v>
      </c>
      <c r="D30" s="8">
        <v>88</v>
      </c>
      <c r="E30" s="8" t="s">
        <v>37</v>
      </c>
      <c r="F30" s="8" t="s">
        <v>608</v>
      </c>
      <c r="G30" s="8" t="s">
        <v>49</v>
      </c>
      <c r="H30" s="182" t="s">
        <v>168</v>
      </c>
      <c r="I30" s="8" t="s">
        <v>30</v>
      </c>
      <c r="J30" s="193" t="s">
        <v>601</v>
      </c>
      <c r="K30" t="s">
        <v>40</v>
      </c>
      <c r="L30" s="8">
        <v>96</v>
      </c>
      <c r="M30" s="8">
        <v>21</v>
      </c>
      <c r="N30" s="8">
        <v>2000</v>
      </c>
      <c r="O30" s="8">
        <v>2022</v>
      </c>
      <c r="P30" s="8" t="s">
        <v>226</v>
      </c>
      <c r="Q30" s="8" t="s">
        <v>609</v>
      </c>
      <c r="R30" s="8" t="s">
        <v>610</v>
      </c>
      <c r="S30" s="8" t="s">
        <v>180</v>
      </c>
      <c r="T30" s="8"/>
      <c r="X30" t="s">
        <v>219</v>
      </c>
      <c r="Y30" t="s">
        <v>645</v>
      </c>
    </row>
    <row r="31" spans="1:25" ht="14.4">
      <c r="A31">
        <f>((0.087+0.069)/2)</f>
        <v>7.8E-2</v>
      </c>
      <c r="B31" t="s">
        <v>668</v>
      </c>
      <c r="C31">
        <v>43.391864017281101</v>
      </c>
      <c r="D31" s="175">
        <v>-72.054327060767505</v>
      </c>
      <c r="E31" t="s">
        <v>47</v>
      </c>
      <c r="F31" t="s">
        <v>546</v>
      </c>
      <c r="G31" t="s">
        <v>62</v>
      </c>
      <c r="H31" t="s">
        <v>547</v>
      </c>
      <c r="I31" t="s">
        <v>548</v>
      </c>
      <c r="J31" t="s">
        <v>549</v>
      </c>
      <c r="K31" t="s">
        <v>31</v>
      </c>
      <c r="L31">
        <v>1</v>
      </c>
      <c r="M31">
        <v>35</v>
      </c>
      <c r="N31">
        <v>1985</v>
      </c>
      <c r="O31">
        <v>2020</v>
      </c>
      <c r="P31" t="s">
        <v>140</v>
      </c>
      <c r="Q31" s="4" t="s">
        <v>550</v>
      </c>
      <c r="R31" t="s">
        <v>551</v>
      </c>
      <c r="S31" t="s">
        <v>552</v>
      </c>
      <c r="T31" t="s">
        <v>2381</v>
      </c>
      <c r="U31" s="2" t="s">
        <v>554</v>
      </c>
      <c r="W31" t="s">
        <v>555</v>
      </c>
      <c r="X31" t="s">
        <v>294</v>
      </c>
      <c r="Y31" t="s">
        <v>59</v>
      </c>
    </row>
    <row r="32" spans="1:25" ht="14.4">
      <c r="A32">
        <v>0.04</v>
      </c>
      <c r="B32" t="s">
        <v>82</v>
      </c>
      <c r="C32" s="8">
        <v>35</v>
      </c>
      <c r="D32" s="8">
        <v>105</v>
      </c>
      <c r="E32" t="s">
        <v>37</v>
      </c>
      <c r="F32" t="s">
        <v>213</v>
      </c>
      <c r="G32" t="s">
        <v>49</v>
      </c>
      <c r="H32" t="s">
        <v>29</v>
      </c>
      <c r="I32" t="s">
        <v>30</v>
      </c>
      <c r="J32" t="s">
        <v>40</v>
      </c>
      <c r="K32" t="s">
        <v>40</v>
      </c>
      <c r="L32">
        <v>91</v>
      </c>
      <c r="M32">
        <f t="shared" ref="M32:M37" si="1">O32-N32</f>
        <v>39</v>
      </c>
      <c r="N32">
        <v>1979</v>
      </c>
      <c r="O32">
        <v>2018</v>
      </c>
      <c r="P32" t="s">
        <v>140</v>
      </c>
      <c r="Q32" s="14" t="s">
        <v>214</v>
      </c>
      <c r="R32" s="8" t="s">
        <v>215</v>
      </c>
      <c r="S32" t="s">
        <v>143</v>
      </c>
      <c r="T32" t="s">
        <v>216</v>
      </c>
      <c r="U32" s="177" t="s">
        <v>217</v>
      </c>
      <c r="W32" t="s">
        <v>218</v>
      </c>
      <c r="X32" t="s">
        <v>59</v>
      </c>
      <c r="Y32" t="s">
        <v>219</v>
      </c>
    </row>
    <row r="33" spans="1:31" ht="14.4">
      <c r="A33">
        <v>0.05</v>
      </c>
      <c r="B33" t="s">
        <v>82</v>
      </c>
      <c r="C33" s="8">
        <v>35</v>
      </c>
      <c r="D33" s="8">
        <v>105</v>
      </c>
      <c r="E33" t="s">
        <v>37</v>
      </c>
      <c r="F33" t="s">
        <v>213</v>
      </c>
      <c r="G33" t="s">
        <v>49</v>
      </c>
      <c r="H33" t="s">
        <v>29</v>
      </c>
      <c r="I33" t="s">
        <v>30</v>
      </c>
      <c r="J33" t="s">
        <v>129</v>
      </c>
      <c r="K33" t="s">
        <v>73</v>
      </c>
      <c r="L33">
        <v>91</v>
      </c>
      <c r="M33">
        <f t="shared" si="1"/>
        <v>39</v>
      </c>
      <c r="N33">
        <v>1979</v>
      </c>
      <c r="O33">
        <v>2018</v>
      </c>
      <c r="P33" t="s">
        <v>140</v>
      </c>
      <c r="Q33" s="14" t="s">
        <v>214</v>
      </c>
      <c r="R33" s="8" t="s">
        <v>215</v>
      </c>
      <c r="S33" t="s">
        <v>143</v>
      </c>
      <c r="T33" t="s">
        <v>216</v>
      </c>
      <c r="U33" s="177" t="s">
        <v>217</v>
      </c>
      <c r="W33" t="s">
        <v>218</v>
      </c>
      <c r="X33" t="s">
        <v>59</v>
      </c>
      <c r="Y33" t="s">
        <v>219</v>
      </c>
    </row>
    <row r="34" spans="1:31" s="5" customFormat="1" ht="14.4">
      <c r="A34">
        <v>4.1000000000000002E-2</v>
      </c>
      <c r="B34" t="s">
        <v>82</v>
      </c>
      <c r="C34" s="8">
        <v>35</v>
      </c>
      <c r="D34" s="8">
        <v>105</v>
      </c>
      <c r="E34" t="s">
        <v>37</v>
      </c>
      <c r="F34" t="s">
        <v>213</v>
      </c>
      <c r="G34" t="s">
        <v>49</v>
      </c>
      <c r="H34" t="s">
        <v>29</v>
      </c>
      <c r="I34" t="s">
        <v>30</v>
      </c>
      <c r="J34" t="s">
        <v>129</v>
      </c>
      <c r="K34" t="s">
        <v>81</v>
      </c>
      <c r="L34">
        <v>91</v>
      </c>
      <c r="M34">
        <f t="shared" si="1"/>
        <v>39</v>
      </c>
      <c r="N34">
        <v>1979</v>
      </c>
      <c r="O34">
        <v>2018</v>
      </c>
      <c r="P34" t="s">
        <v>140</v>
      </c>
      <c r="Q34" s="14" t="s">
        <v>214</v>
      </c>
      <c r="R34" s="8" t="s">
        <v>215</v>
      </c>
      <c r="S34" t="s">
        <v>143</v>
      </c>
      <c r="T34" t="s">
        <v>216</v>
      </c>
      <c r="U34" s="177" t="s">
        <v>217</v>
      </c>
      <c r="V34"/>
      <c r="W34" t="s">
        <v>218</v>
      </c>
      <c r="X34" t="s">
        <v>59</v>
      </c>
      <c r="Y34" t="s">
        <v>219</v>
      </c>
    </row>
    <row r="35" spans="1:31" ht="14.4">
      <c r="A35">
        <v>3.7999999999999999E-2</v>
      </c>
      <c r="B35" t="s">
        <v>82</v>
      </c>
      <c r="C35" s="8">
        <v>35</v>
      </c>
      <c r="D35" s="8">
        <v>105</v>
      </c>
      <c r="E35" t="s">
        <v>37</v>
      </c>
      <c r="F35" t="s">
        <v>213</v>
      </c>
      <c r="G35" t="s">
        <v>49</v>
      </c>
      <c r="H35" t="s">
        <v>29</v>
      </c>
      <c r="I35" t="s">
        <v>30</v>
      </c>
      <c r="J35" t="s">
        <v>129</v>
      </c>
      <c r="K35" t="s">
        <v>80</v>
      </c>
      <c r="L35">
        <v>91</v>
      </c>
      <c r="M35">
        <f t="shared" si="1"/>
        <v>39</v>
      </c>
      <c r="N35">
        <v>1979</v>
      </c>
      <c r="O35">
        <v>2018</v>
      </c>
      <c r="P35" t="s">
        <v>140</v>
      </c>
      <c r="Q35" s="14" t="s">
        <v>214</v>
      </c>
      <c r="R35" s="8" t="s">
        <v>215</v>
      </c>
      <c r="S35" t="s">
        <v>143</v>
      </c>
      <c r="T35" t="s">
        <v>216</v>
      </c>
      <c r="U35" s="177" t="s">
        <v>217</v>
      </c>
      <c r="W35" t="s">
        <v>218</v>
      </c>
      <c r="X35" t="s">
        <v>59</v>
      </c>
      <c r="Y35" t="s">
        <v>219</v>
      </c>
    </row>
    <row r="36" spans="1:31" ht="14.4">
      <c r="A36">
        <v>2.9000000000000001E-2</v>
      </c>
      <c r="B36" t="s">
        <v>82</v>
      </c>
      <c r="C36" s="8">
        <v>35</v>
      </c>
      <c r="D36" s="8">
        <v>105</v>
      </c>
      <c r="E36" t="s">
        <v>37</v>
      </c>
      <c r="F36" t="s">
        <v>213</v>
      </c>
      <c r="G36" t="s">
        <v>49</v>
      </c>
      <c r="H36" t="s">
        <v>29</v>
      </c>
      <c r="I36" t="s">
        <v>30</v>
      </c>
      <c r="J36" t="s">
        <v>129</v>
      </c>
      <c r="K36" t="s">
        <v>31</v>
      </c>
      <c r="L36">
        <v>91</v>
      </c>
      <c r="M36">
        <f t="shared" si="1"/>
        <v>39</v>
      </c>
      <c r="N36">
        <v>1979</v>
      </c>
      <c r="O36">
        <v>2018</v>
      </c>
      <c r="P36" t="s">
        <v>140</v>
      </c>
      <c r="Q36" s="14" t="s">
        <v>214</v>
      </c>
      <c r="R36" s="8" t="s">
        <v>215</v>
      </c>
      <c r="S36" t="s">
        <v>143</v>
      </c>
      <c r="T36" t="s">
        <v>216</v>
      </c>
      <c r="U36" s="177" t="s">
        <v>217</v>
      </c>
      <c r="W36" t="s">
        <v>218</v>
      </c>
      <c r="X36" t="s">
        <v>59</v>
      </c>
      <c r="Y36" t="s">
        <v>219</v>
      </c>
    </row>
    <row r="37" spans="1:31" ht="14.4">
      <c r="A37">
        <v>2.3E-2</v>
      </c>
      <c r="B37" t="s">
        <v>46</v>
      </c>
      <c r="C37" s="8">
        <v>69</v>
      </c>
      <c r="D37" s="8">
        <v>28</v>
      </c>
      <c r="E37" s="9" t="s">
        <v>47</v>
      </c>
      <c r="F37" t="s">
        <v>48</v>
      </c>
      <c r="G37" t="s">
        <v>49</v>
      </c>
      <c r="H37" t="s">
        <v>50</v>
      </c>
      <c r="I37" t="s">
        <v>51</v>
      </c>
      <c r="J37" t="s">
        <v>52</v>
      </c>
      <c r="K37" t="s">
        <v>40</v>
      </c>
      <c r="L37">
        <v>1</v>
      </c>
      <c r="M37">
        <f t="shared" si="1"/>
        <v>63</v>
      </c>
      <c r="N37">
        <v>1960</v>
      </c>
      <c r="O37">
        <v>2023</v>
      </c>
      <c r="Q37" s="14" t="s">
        <v>53</v>
      </c>
      <c r="R37" t="s">
        <v>54</v>
      </c>
      <c r="S37" t="s">
        <v>55</v>
      </c>
      <c r="T37" t="s">
        <v>56</v>
      </c>
      <c r="U37" s="2" t="s">
        <v>57</v>
      </c>
      <c r="W37" t="s">
        <v>58</v>
      </c>
      <c r="X37" t="s">
        <v>59</v>
      </c>
      <c r="Y37" t="s">
        <v>219</v>
      </c>
    </row>
    <row r="38" spans="1:31" ht="14.4">
      <c r="A38" s="8">
        <v>0.06</v>
      </c>
      <c r="B38" s="8" t="s">
        <v>347</v>
      </c>
      <c r="C38" s="8">
        <v>32.833329999999997</v>
      </c>
      <c r="D38" s="8">
        <v>35.583329999999997</v>
      </c>
      <c r="E38" s="8" t="s">
        <v>47</v>
      </c>
      <c r="F38" s="8" t="s">
        <v>348</v>
      </c>
      <c r="G38" s="8" t="s">
        <v>103</v>
      </c>
      <c r="H38" s="8" t="s">
        <v>84</v>
      </c>
      <c r="I38" s="8" t="s">
        <v>349</v>
      </c>
      <c r="J38" s="8" t="s">
        <v>148</v>
      </c>
      <c r="K38" s="8" t="s">
        <v>40</v>
      </c>
      <c r="L38" s="8">
        <v>2</v>
      </c>
      <c r="M38" s="8">
        <v>16</v>
      </c>
      <c r="N38" s="8">
        <v>2003</v>
      </c>
      <c r="O38" s="8">
        <v>2019</v>
      </c>
      <c r="P38" s="8" t="s">
        <v>226</v>
      </c>
      <c r="Q38" s="8" t="s">
        <v>350</v>
      </c>
      <c r="R38" s="8" t="s">
        <v>351</v>
      </c>
      <c r="S38" s="41" t="s">
        <v>172</v>
      </c>
      <c r="T38" s="8"/>
      <c r="U38" s="78" t="s">
        <v>352</v>
      </c>
      <c r="X38" t="s">
        <v>335</v>
      </c>
      <c r="Y38" t="s">
        <v>59</v>
      </c>
    </row>
    <row r="39" spans="1:31" ht="14.4">
      <c r="A39" s="8">
        <v>7.0000000000000007E-2</v>
      </c>
      <c r="B39" s="8" t="s">
        <v>347</v>
      </c>
      <c r="C39" s="8">
        <v>32.833329999999997</v>
      </c>
      <c r="D39" s="8">
        <v>35.583329999999997</v>
      </c>
      <c r="E39" s="8" t="s">
        <v>47</v>
      </c>
      <c r="F39" s="8" t="s">
        <v>348</v>
      </c>
      <c r="G39" s="8" t="s">
        <v>103</v>
      </c>
      <c r="H39" s="8" t="s">
        <v>84</v>
      </c>
      <c r="I39" s="8" t="s">
        <v>169</v>
      </c>
      <c r="J39" s="8" t="s">
        <v>353</v>
      </c>
      <c r="K39" s="8" t="s">
        <v>31</v>
      </c>
      <c r="L39" s="8">
        <v>2</v>
      </c>
      <c r="M39" s="8">
        <v>16</v>
      </c>
      <c r="N39" s="8">
        <v>2003</v>
      </c>
      <c r="O39" s="8">
        <v>2019</v>
      </c>
      <c r="P39" s="8" t="s">
        <v>226</v>
      </c>
      <c r="Q39" s="8" t="s">
        <v>350</v>
      </c>
      <c r="R39" s="8" t="s">
        <v>351</v>
      </c>
      <c r="S39" s="41" t="s">
        <v>172</v>
      </c>
      <c r="T39" s="8"/>
      <c r="U39" s="78" t="s">
        <v>352</v>
      </c>
      <c r="X39" t="s">
        <v>335</v>
      </c>
      <c r="Y39" t="s">
        <v>59</v>
      </c>
    </row>
    <row r="40" spans="1:31" ht="14.4">
      <c r="A40" s="8">
        <v>0.04</v>
      </c>
      <c r="B40" s="8" t="s">
        <v>347</v>
      </c>
      <c r="C40">
        <v>32.833333000000003</v>
      </c>
      <c r="D40">
        <v>35.583333000000003</v>
      </c>
      <c r="E40" s="8" t="s">
        <v>47</v>
      </c>
      <c r="F40" s="8" t="s">
        <v>354</v>
      </c>
      <c r="G40" t="s">
        <v>62</v>
      </c>
      <c r="H40" s="8" t="s">
        <v>355</v>
      </c>
      <c r="I40" s="8" t="s">
        <v>30</v>
      </c>
      <c r="J40" s="8" t="s">
        <v>356</v>
      </c>
      <c r="K40" s="8" t="s">
        <v>31</v>
      </c>
      <c r="L40" s="8">
        <v>2</v>
      </c>
      <c r="M40" s="8">
        <v>16</v>
      </c>
      <c r="N40" s="8">
        <v>2003</v>
      </c>
      <c r="O40" s="8">
        <v>2019</v>
      </c>
      <c r="P40" s="8" t="s">
        <v>226</v>
      </c>
      <c r="Q40" s="8" t="s">
        <v>350</v>
      </c>
      <c r="R40" s="8" t="s">
        <v>351</v>
      </c>
      <c r="S40" s="41" t="s">
        <v>172</v>
      </c>
      <c r="T40" s="8"/>
      <c r="U40" s="78" t="s">
        <v>352</v>
      </c>
      <c r="V40" s="5"/>
      <c r="X40" t="s">
        <v>335</v>
      </c>
      <c r="Y40" t="s">
        <v>59</v>
      </c>
      <c r="Z40" s="8"/>
      <c r="AA40" s="8"/>
      <c r="AB40" s="8"/>
      <c r="AC40" s="8"/>
      <c r="AD40" s="8"/>
      <c r="AE40" s="8"/>
    </row>
    <row r="41" spans="1:31" ht="14.4">
      <c r="A41">
        <v>0.05</v>
      </c>
      <c r="B41" t="s">
        <v>347</v>
      </c>
      <c r="C41">
        <v>32.833333000000003</v>
      </c>
      <c r="D41">
        <v>35.583333000000003</v>
      </c>
      <c r="E41" t="s">
        <v>47</v>
      </c>
      <c r="F41" t="s">
        <v>357</v>
      </c>
      <c r="G41" t="s">
        <v>62</v>
      </c>
      <c r="H41" t="s">
        <v>84</v>
      </c>
      <c r="I41" t="s">
        <v>349</v>
      </c>
      <c r="J41" t="s">
        <v>148</v>
      </c>
      <c r="K41" t="s">
        <v>40</v>
      </c>
      <c r="L41">
        <v>2</v>
      </c>
      <c r="M41">
        <v>16</v>
      </c>
      <c r="N41">
        <v>2003</v>
      </c>
      <c r="O41">
        <v>2019</v>
      </c>
      <c r="Q41" s="8" t="s">
        <v>350</v>
      </c>
      <c r="R41" t="s">
        <v>358</v>
      </c>
      <c r="S41" t="s">
        <v>172</v>
      </c>
      <c r="W41" t="s">
        <v>359</v>
      </c>
      <c r="X41" t="s">
        <v>335</v>
      </c>
      <c r="Y41" t="s">
        <v>59</v>
      </c>
      <c r="Z41" s="8"/>
      <c r="AA41" s="8"/>
      <c r="AB41" s="8"/>
      <c r="AC41" s="8"/>
      <c r="AD41" s="8"/>
      <c r="AE41" s="8"/>
    </row>
    <row r="42" spans="1:31" ht="14.4">
      <c r="A42" s="8">
        <v>0.08</v>
      </c>
      <c r="B42" s="8" t="s">
        <v>360</v>
      </c>
      <c r="C42">
        <v>31.5</v>
      </c>
      <c r="D42">
        <v>35.5</v>
      </c>
      <c r="E42" s="8" t="s">
        <v>47</v>
      </c>
      <c r="F42" s="8" t="s">
        <v>354</v>
      </c>
      <c r="G42" t="s">
        <v>62</v>
      </c>
      <c r="H42" s="8" t="s">
        <v>355</v>
      </c>
      <c r="I42" s="8" t="s">
        <v>30</v>
      </c>
      <c r="J42" s="8" t="s">
        <v>356</v>
      </c>
      <c r="K42" s="8" t="s">
        <v>31</v>
      </c>
      <c r="L42" s="8">
        <v>2</v>
      </c>
      <c r="M42" s="8">
        <v>16</v>
      </c>
      <c r="N42" s="8">
        <v>2003</v>
      </c>
      <c r="O42" s="8">
        <v>2019</v>
      </c>
      <c r="P42" s="8" t="s">
        <v>226</v>
      </c>
      <c r="Q42" s="8" t="s">
        <v>350</v>
      </c>
      <c r="R42" s="8" t="s">
        <v>351</v>
      </c>
      <c r="S42" s="41" t="s">
        <v>172</v>
      </c>
      <c r="T42" s="8"/>
      <c r="U42" s="78" t="s">
        <v>352</v>
      </c>
      <c r="V42" s="5"/>
      <c r="X42" s="5" t="s">
        <v>335</v>
      </c>
      <c r="Y42" t="s">
        <v>59</v>
      </c>
      <c r="Z42" s="8"/>
      <c r="AA42" s="8"/>
      <c r="AB42" s="8"/>
      <c r="AC42" s="8"/>
      <c r="AD42" s="8"/>
      <c r="AE42" s="8"/>
    </row>
    <row r="43" spans="1:31" ht="14.4">
      <c r="A43" s="8">
        <v>4.1430000000000002E-2</v>
      </c>
      <c r="B43" s="124" t="s">
        <v>595</v>
      </c>
      <c r="C43" s="8">
        <v>25</v>
      </c>
      <c r="D43" s="8">
        <v>101</v>
      </c>
      <c r="E43" s="8" t="s">
        <v>37</v>
      </c>
      <c r="F43" s="8" t="s">
        <v>596</v>
      </c>
      <c r="G43" t="s">
        <v>49</v>
      </c>
      <c r="H43" s="8" t="s">
        <v>597</v>
      </c>
      <c r="I43" s="8" t="s">
        <v>30</v>
      </c>
      <c r="J43" s="8" t="s">
        <v>40</v>
      </c>
      <c r="K43" s="8" t="s">
        <v>40</v>
      </c>
      <c r="L43" s="8">
        <v>7</v>
      </c>
      <c r="M43" s="8">
        <v>20</v>
      </c>
      <c r="N43" s="8">
        <v>2000</v>
      </c>
      <c r="O43" s="8">
        <v>2020</v>
      </c>
      <c r="P43" s="8" t="s">
        <v>226</v>
      </c>
      <c r="Q43" s="9" t="s">
        <v>598</v>
      </c>
      <c r="R43" s="8" t="s">
        <v>599</v>
      </c>
      <c r="S43" s="8" t="s">
        <v>362</v>
      </c>
      <c r="T43" s="8"/>
      <c r="X43" t="s">
        <v>219</v>
      </c>
      <c r="Y43" t="s">
        <v>294</v>
      </c>
    </row>
    <row r="44" spans="1:31" ht="14.4">
      <c r="A44" s="23">
        <v>7.0000000000000007E-2</v>
      </c>
      <c r="B44" s="86" t="s">
        <v>506</v>
      </c>
      <c r="C44" s="124">
        <v>30</v>
      </c>
      <c r="D44" s="124">
        <v>119</v>
      </c>
      <c r="E44" t="s">
        <v>47</v>
      </c>
      <c r="F44" s="192" t="s">
        <v>507</v>
      </c>
      <c r="G44" s="191" t="s">
        <v>62</v>
      </c>
      <c r="H44" s="23" t="s">
        <v>508</v>
      </c>
      <c r="I44" s="23" t="s">
        <v>30</v>
      </c>
      <c r="J44" s="23" t="s">
        <v>40</v>
      </c>
      <c r="K44" t="s">
        <v>40</v>
      </c>
      <c r="L44" s="23">
        <v>1</v>
      </c>
      <c r="M44" s="8">
        <v>35</v>
      </c>
      <c r="N44" s="23">
        <v>1986</v>
      </c>
      <c r="O44" s="23">
        <v>2021</v>
      </c>
      <c r="P44" s="23" t="s">
        <v>226</v>
      </c>
      <c r="Q44" t="s">
        <v>509</v>
      </c>
      <c r="R44" s="23" t="s">
        <v>510</v>
      </c>
      <c r="S44" s="23" t="s">
        <v>376</v>
      </c>
      <c r="T44" s="23"/>
      <c r="U44" s="23" t="s">
        <v>511</v>
      </c>
      <c r="V44" s="23"/>
      <c r="W44" s="23" t="s">
        <v>512</v>
      </c>
      <c r="X44" s="23" t="s">
        <v>436</v>
      </c>
      <c r="Y44" s="23" t="s">
        <v>219</v>
      </c>
    </row>
    <row r="45" spans="1:31" s="19" customFormat="1" ht="14.4">
      <c r="A45">
        <v>0.04</v>
      </c>
      <c r="B45" t="s">
        <v>60</v>
      </c>
      <c r="C45" s="8">
        <v>56</v>
      </c>
      <c r="D45" s="9">
        <v>15</v>
      </c>
      <c r="E45" t="s">
        <v>37</v>
      </c>
      <c r="F45" t="s">
        <v>61</v>
      </c>
      <c r="G45" t="s">
        <v>62</v>
      </c>
      <c r="H45" t="s">
        <v>63</v>
      </c>
      <c r="I45" t="s">
        <v>30</v>
      </c>
      <c r="J45" t="s">
        <v>40</v>
      </c>
      <c r="K45" t="s">
        <v>40</v>
      </c>
      <c r="L45" s="4">
        <v>26</v>
      </c>
      <c r="M45">
        <f>O45-N45</f>
        <v>35</v>
      </c>
      <c r="N45" s="4">
        <v>1981</v>
      </c>
      <c r="O45" s="4">
        <v>2016</v>
      </c>
      <c r="P45" s="4"/>
      <c r="Q45" s="14" t="s">
        <v>64</v>
      </c>
      <c r="R45" s="3" t="s">
        <v>65</v>
      </c>
      <c r="S45" t="s">
        <v>66</v>
      </c>
      <c r="T45" s="6" t="s">
        <v>2382</v>
      </c>
      <c r="U45" s="2" t="s">
        <v>68</v>
      </c>
      <c r="V45"/>
      <c r="W45" t="s">
        <v>69</v>
      </c>
      <c r="X45" t="s">
        <v>59</v>
      </c>
      <c r="Y45" t="s">
        <v>219</v>
      </c>
      <c r="Z45" s="5"/>
      <c r="AA45" s="5"/>
      <c r="AB45" s="5"/>
      <c r="AC45" s="5"/>
      <c r="AD45" s="5"/>
      <c r="AE45" s="5"/>
    </row>
    <row r="46" spans="1:31" s="19" customFormat="1" ht="14.4">
      <c r="A46">
        <v>5.8999999999999997E-2</v>
      </c>
      <c r="B46" t="s">
        <v>184</v>
      </c>
      <c r="C46" s="8">
        <v>31.23</v>
      </c>
      <c r="D46" s="8">
        <v>120.13</v>
      </c>
      <c r="E46" t="s">
        <v>47</v>
      </c>
      <c r="F46" t="s">
        <v>185</v>
      </c>
      <c r="G46" t="s">
        <v>62</v>
      </c>
      <c r="H46" t="s">
        <v>84</v>
      </c>
      <c r="I46" t="s">
        <v>30</v>
      </c>
      <c r="J46" t="s">
        <v>186</v>
      </c>
      <c r="K46" t="s">
        <v>187</v>
      </c>
      <c r="L46">
        <v>1</v>
      </c>
      <c r="M46">
        <f>O46-N46</f>
        <v>11</v>
      </c>
      <c r="N46">
        <v>2002</v>
      </c>
      <c r="O46">
        <v>2013</v>
      </c>
      <c r="P46" t="s">
        <v>140</v>
      </c>
      <c r="Q46" s="4" t="s">
        <v>188</v>
      </c>
      <c r="R46" t="s">
        <v>189</v>
      </c>
      <c r="S46" t="s">
        <v>190</v>
      </c>
      <c r="T46" t="s">
        <v>191</v>
      </c>
      <c r="U46" s="2" t="s">
        <v>192</v>
      </c>
      <c r="V46"/>
      <c r="W46" t="s">
        <v>193</v>
      </c>
      <c r="X46" t="s">
        <v>59</v>
      </c>
      <c r="Y46" t="s">
        <v>335</v>
      </c>
      <c r="Z46" s="5"/>
      <c r="AA46" s="5"/>
      <c r="AB46" s="5"/>
      <c r="AC46" s="5"/>
      <c r="AD46" s="5"/>
      <c r="AE46" s="5"/>
    </row>
    <row r="47" spans="1:31" ht="14.4">
      <c r="A47" s="23">
        <v>0.12</v>
      </c>
      <c r="B47" s="23" t="s">
        <v>257</v>
      </c>
      <c r="C47" s="124">
        <v>25</v>
      </c>
      <c r="D47" s="124">
        <v>103</v>
      </c>
      <c r="E47" t="s">
        <v>47</v>
      </c>
      <c r="F47" s="23" t="s">
        <v>513</v>
      </c>
      <c r="G47" t="s">
        <v>62</v>
      </c>
      <c r="H47" s="23" t="s">
        <v>520</v>
      </c>
      <c r="I47" s="23" t="s">
        <v>30</v>
      </c>
      <c r="J47" s="23" t="s">
        <v>148</v>
      </c>
      <c r="K47" t="s">
        <v>40</v>
      </c>
      <c r="L47" s="23">
        <v>1</v>
      </c>
      <c r="M47" s="8">
        <v>16</v>
      </c>
      <c r="N47" s="23">
        <v>2001</v>
      </c>
      <c r="O47" s="23">
        <v>2017</v>
      </c>
      <c r="P47" s="23" t="s">
        <v>387</v>
      </c>
      <c r="Q47" s="5" t="s">
        <v>521</v>
      </c>
      <c r="R47" s="23" t="s">
        <v>522</v>
      </c>
      <c r="S47" s="124" t="s">
        <v>523</v>
      </c>
      <c r="T47" s="23"/>
      <c r="U47" s="23"/>
      <c r="V47" s="23"/>
      <c r="W47" s="23" t="s">
        <v>524</v>
      </c>
      <c r="X47" s="23" t="s">
        <v>436</v>
      </c>
      <c r="Y47" s="23" t="s">
        <v>219</v>
      </c>
    </row>
    <row r="48" spans="1:31" ht="14.4">
      <c r="A48" s="23">
        <v>0.09</v>
      </c>
      <c r="B48" s="23" t="s">
        <v>257</v>
      </c>
      <c r="C48" s="124">
        <v>25</v>
      </c>
      <c r="D48" s="124">
        <v>103</v>
      </c>
      <c r="E48" t="s">
        <v>47</v>
      </c>
      <c r="F48" s="23" t="s">
        <v>513</v>
      </c>
      <c r="G48" t="s">
        <v>62</v>
      </c>
      <c r="H48" s="23" t="s">
        <v>520</v>
      </c>
      <c r="I48" s="23" t="s">
        <v>30</v>
      </c>
      <c r="J48" s="23" t="s">
        <v>155</v>
      </c>
      <c r="K48" t="s">
        <v>155</v>
      </c>
      <c r="L48" s="23">
        <v>1</v>
      </c>
      <c r="M48" s="8">
        <v>16</v>
      </c>
      <c r="N48" s="23">
        <v>2001</v>
      </c>
      <c r="O48" s="23">
        <v>2017</v>
      </c>
      <c r="P48" s="23" t="s">
        <v>387</v>
      </c>
      <c r="Q48" s="23" t="s">
        <v>525</v>
      </c>
      <c r="R48" s="23" t="s">
        <v>522</v>
      </c>
      <c r="S48" s="124" t="s">
        <v>523</v>
      </c>
      <c r="T48" s="23"/>
      <c r="U48" s="23"/>
      <c r="V48" s="23"/>
      <c r="W48" s="23" t="s">
        <v>524</v>
      </c>
      <c r="X48" s="23" t="s">
        <v>436</v>
      </c>
      <c r="Y48" s="23" t="s">
        <v>219</v>
      </c>
    </row>
    <row r="49" spans="1:25" ht="14.4">
      <c r="A49" s="8">
        <v>-0.05</v>
      </c>
      <c r="B49" t="s">
        <v>364</v>
      </c>
      <c r="C49" s="8">
        <v>34.369999999999997</v>
      </c>
      <c r="D49" s="8">
        <v>74.56</v>
      </c>
      <c r="E49" s="8" t="s">
        <v>47</v>
      </c>
      <c r="F49" s="8" t="s">
        <v>185</v>
      </c>
      <c r="G49" t="s">
        <v>62</v>
      </c>
      <c r="H49" s="8" t="s">
        <v>365</v>
      </c>
      <c r="I49" s="8" t="s">
        <v>30</v>
      </c>
      <c r="J49" s="8" t="s">
        <v>148</v>
      </c>
      <c r="K49" s="8" t="s">
        <v>40</v>
      </c>
      <c r="L49" s="8">
        <v>1</v>
      </c>
      <c r="M49" s="8">
        <v>16</v>
      </c>
      <c r="N49" s="8">
        <v>2001</v>
      </c>
      <c r="O49" s="8">
        <v>2017</v>
      </c>
      <c r="P49" s="8" t="s">
        <v>226</v>
      </c>
      <c r="Q49" s="8" t="s">
        <v>366</v>
      </c>
      <c r="R49" s="8" t="s">
        <v>367</v>
      </c>
      <c r="S49" t="s">
        <v>368</v>
      </c>
      <c r="T49" s="8" t="s">
        <v>369</v>
      </c>
      <c r="U49" s="29" t="s">
        <v>370</v>
      </c>
      <c r="X49" t="s">
        <v>335</v>
      </c>
      <c r="Y49" t="s">
        <v>676</v>
      </c>
    </row>
    <row r="50" spans="1:25" ht="14.4">
      <c r="A50" s="8">
        <v>0.01</v>
      </c>
      <c r="B50" t="s">
        <v>364</v>
      </c>
      <c r="C50" s="8">
        <v>34.369999999999997</v>
      </c>
      <c r="D50" s="8">
        <v>74.56</v>
      </c>
      <c r="E50" s="8" t="s">
        <v>47</v>
      </c>
      <c r="F50" s="8" t="s">
        <v>185</v>
      </c>
      <c r="G50" t="s">
        <v>62</v>
      </c>
      <c r="H50" s="8" t="s">
        <v>365</v>
      </c>
      <c r="I50" s="8" t="s">
        <v>30</v>
      </c>
      <c r="J50" s="8" t="s">
        <v>155</v>
      </c>
      <c r="K50" s="8" t="s">
        <v>155</v>
      </c>
      <c r="L50" s="8">
        <v>1</v>
      </c>
      <c r="M50" s="8">
        <v>16</v>
      </c>
      <c r="N50" s="8">
        <v>2001</v>
      </c>
      <c r="O50" s="8">
        <v>2017</v>
      </c>
      <c r="P50" s="8" t="s">
        <v>226</v>
      </c>
      <c r="Q50" s="8" t="s">
        <v>366</v>
      </c>
      <c r="R50" s="8" t="s">
        <v>367</v>
      </c>
      <c r="S50" t="s">
        <v>368</v>
      </c>
      <c r="T50" s="8" t="s">
        <v>369</v>
      </c>
      <c r="U50" s="29" t="s">
        <v>370</v>
      </c>
      <c r="X50" t="s">
        <v>335</v>
      </c>
      <c r="Y50" t="s">
        <v>676</v>
      </c>
    </row>
    <row r="51" spans="1:25" ht="14.4">
      <c r="A51" s="8">
        <v>3.7999999999999999E-2</v>
      </c>
      <c r="B51" s="8" t="s">
        <v>568</v>
      </c>
      <c r="C51" s="8">
        <v>47</v>
      </c>
      <c r="D51" s="8">
        <v>11</v>
      </c>
      <c r="E51" s="8" t="s">
        <v>47</v>
      </c>
      <c r="F51" s="8" t="s">
        <v>569</v>
      </c>
      <c r="G51" s="8" t="s">
        <v>103</v>
      </c>
      <c r="H51" s="8" t="s">
        <v>570</v>
      </c>
      <c r="I51" s="8" t="s">
        <v>30</v>
      </c>
      <c r="J51" s="5" t="s">
        <v>571</v>
      </c>
      <c r="K51" s="5" t="s">
        <v>40</v>
      </c>
      <c r="L51" s="8">
        <v>1</v>
      </c>
      <c r="M51" s="8">
        <v>43</v>
      </c>
      <c r="N51" s="8">
        <v>1972</v>
      </c>
      <c r="O51" s="8">
        <v>2015</v>
      </c>
      <c r="P51" s="8" t="s">
        <v>140</v>
      </c>
      <c r="Q51" s="195" t="s">
        <v>572</v>
      </c>
      <c r="R51" s="8" t="s">
        <v>573</v>
      </c>
      <c r="S51" s="8" t="s">
        <v>180</v>
      </c>
      <c r="T51" s="8"/>
      <c r="U51" s="5"/>
      <c r="V51" s="5" t="s">
        <v>675</v>
      </c>
      <c r="W51" s="194" t="s">
        <v>574</v>
      </c>
      <c r="X51" s="5" t="s">
        <v>219</v>
      </c>
      <c r="Y51" s="5" t="s">
        <v>645</v>
      </c>
    </row>
    <row r="52" spans="1:25" ht="14.4">
      <c r="A52" s="8">
        <v>2.4E-2</v>
      </c>
      <c r="B52" s="124" t="s">
        <v>568</v>
      </c>
      <c r="C52" s="8">
        <v>47</v>
      </c>
      <c r="D52" s="8">
        <v>11</v>
      </c>
      <c r="E52" s="8" t="s">
        <v>47</v>
      </c>
      <c r="F52" s="124" t="s">
        <v>569</v>
      </c>
      <c r="G52" s="8" t="s">
        <v>103</v>
      </c>
      <c r="H52" s="124" t="s">
        <v>570</v>
      </c>
      <c r="I52" s="8" t="s">
        <v>30</v>
      </c>
      <c r="J52" s="8" t="s">
        <v>621</v>
      </c>
      <c r="K52" s="8" t="s">
        <v>31</v>
      </c>
      <c r="L52" s="8">
        <v>1</v>
      </c>
      <c r="M52" s="8">
        <v>43</v>
      </c>
      <c r="N52" s="124">
        <v>1972</v>
      </c>
      <c r="O52" s="124">
        <v>2015</v>
      </c>
      <c r="P52" s="8" t="s">
        <v>140</v>
      </c>
      <c r="Q52" s="195" t="s">
        <v>572</v>
      </c>
      <c r="R52" s="124" t="s">
        <v>573</v>
      </c>
      <c r="S52" s="8" t="s">
        <v>180</v>
      </c>
      <c r="T52" s="8"/>
      <c r="X52" t="s">
        <v>219</v>
      </c>
      <c r="Y52" s="5" t="s">
        <v>645</v>
      </c>
    </row>
    <row r="53" spans="1:25" ht="14.4">
      <c r="A53" s="8">
        <v>8.1000000000000003E-2</v>
      </c>
      <c r="B53" s="124" t="s">
        <v>568</v>
      </c>
      <c r="C53" s="8">
        <v>47</v>
      </c>
      <c r="D53" s="8">
        <v>11</v>
      </c>
      <c r="E53" s="8" t="s">
        <v>47</v>
      </c>
      <c r="F53" s="124" t="s">
        <v>569</v>
      </c>
      <c r="G53" s="8" t="s">
        <v>103</v>
      </c>
      <c r="H53" s="124" t="s">
        <v>570</v>
      </c>
      <c r="I53" s="8" t="s">
        <v>30</v>
      </c>
      <c r="J53" s="8" t="s">
        <v>621</v>
      </c>
      <c r="K53" s="8" t="s">
        <v>80</v>
      </c>
      <c r="L53" s="8">
        <v>1</v>
      </c>
      <c r="M53" s="8">
        <v>43</v>
      </c>
      <c r="N53" s="124">
        <v>1972</v>
      </c>
      <c r="O53" s="124">
        <v>2015</v>
      </c>
      <c r="P53" s="8" t="s">
        <v>140</v>
      </c>
      <c r="Q53" s="195" t="s">
        <v>572</v>
      </c>
      <c r="R53" s="124" t="s">
        <v>573</v>
      </c>
      <c r="S53" s="8" t="s">
        <v>180</v>
      </c>
      <c r="T53" s="8"/>
      <c r="X53" t="s">
        <v>219</v>
      </c>
      <c r="Y53" s="5" t="s">
        <v>645</v>
      </c>
    </row>
    <row r="54" spans="1:25" ht="14.4">
      <c r="A54" s="8">
        <v>2.9000000000000001E-2</v>
      </c>
      <c r="B54" s="124" t="s">
        <v>568</v>
      </c>
      <c r="C54" s="8">
        <v>47</v>
      </c>
      <c r="D54" s="8">
        <v>11</v>
      </c>
      <c r="E54" s="8" t="s">
        <v>47</v>
      </c>
      <c r="F54" s="124" t="s">
        <v>569</v>
      </c>
      <c r="G54" s="8" t="s">
        <v>103</v>
      </c>
      <c r="H54" s="124" t="s">
        <v>570</v>
      </c>
      <c r="I54" s="8" t="s">
        <v>30</v>
      </c>
      <c r="J54" s="8" t="s">
        <v>621</v>
      </c>
      <c r="K54" s="8" t="s">
        <v>73</v>
      </c>
      <c r="L54" s="8">
        <v>1</v>
      </c>
      <c r="M54" s="8">
        <v>43</v>
      </c>
      <c r="N54" s="124">
        <v>1972</v>
      </c>
      <c r="O54" s="124">
        <v>2015</v>
      </c>
      <c r="P54" s="8" t="s">
        <v>140</v>
      </c>
      <c r="Q54" s="195" t="s">
        <v>572</v>
      </c>
      <c r="R54" s="124" t="s">
        <v>573</v>
      </c>
      <c r="S54" s="8" t="s">
        <v>180</v>
      </c>
      <c r="T54" s="8"/>
      <c r="X54" t="s">
        <v>219</v>
      </c>
      <c r="Y54" s="5" t="s">
        <v>645</v>
      </c>
    </row>
    <row r="55" spans="1:25" ht="14.4">
      <c r="A55" s="8">
        <v>1.6E-2</v>
      </c>
      <c r="B55" s="124" t="s">
        <v>568</v>
      </c>
      <c r="C55" s="8">
        <v>47</v>
      </c>
      <c r="D55" s="8">
        <v>11</v>
      </c>
      <c r="E55" s="8" t="s">
        <v>47</v>
      </c>
      <c r="F55" s="124" t="s">
        <v>569</v>
      </c>
      <c r="G55" s="8" t="s">
        <v>103</v>
      </c>
      <c r="H55" s="124" t="s">
        <v>570</v>
      </c>
      <c r="I55" s="8" t="s">
        <v>30</v>
      </c>
      <c r="J55" s="8" t="s">
        <v>621</v>
      </c>
      <c r="K55" s="8" t="s">
        <v>81</v>
      </c>
      <c r="L55" s="8">
        <v>1</v>
      </c>
      <c r="M55" s="8">
        <v>43</v>
      </c>
      <c r="N55" s="124">
        <v>1972</v>
      </c>
      <c r="O55" s="124">
        <v>2015</v>
      </c>
      <c r="P55" s="8" t="s">
        <v>140</v>
      </c>
      <c r="Q55" s="195" t="s">
        <v>572</v>
      </c>
      <c r="R55" s="124" t="s">
        <v>573</v>
      </c>
      <c r="S55" s="8" t="s">
        <v>180</v>
      </c>
      <c r="T55" s="8"/>
      <c r="X55" t="s">
        <v>219</v>
      </c>
      <c r="Y55" s="5" t="s">
        <v>645</v>
      </c>
    </row>
    <row r="56" spans="1:25" ht="14.4">
      <c r="A56">
        <v>4.1000000000000002E-2</v>
      </c>
      <c r="B56" t="s">
        <v>416</v>
      </c>
      <c r="C56">
        <v>62</v>
      </c>
      <c r="D56">
        <v>26</v>
      </c>
      <c r="E56" t="s">
        <v>47</v>
      </c>
      <c r="F56" t="s">
        <v>417</v>
      </c>
      <c r="G56" t="s">
        <v>49</v>
      </c>
      <c r="H56" t="s">
        <v>313</v>
      </c>
      <c r="I56" t="s">
        <v>30</v>
      </c>
      <c r="J56" t="s">
        <v>129</v>
      </c>
      <c r="K56" t="s">
        <v>31</v>
      </c>
      <c r="L56">
        <v>1</v>
      </c>
      <c r="M56">
        <f t="shared" ref="M56:M64" si="2">(O56-N56)</f>
        <v>37</v>
      </c>
      <c r="N56">
        <v>1984</v>
      </c>
      <c r="O56">
        <v>2021</v>
      </c>
      <c r="P56" t="s">
        <v>140</v>
      </c>
      <c r="Q56" s="14" t="s">
        <v>418</v>
      </c>
      <c r="R56" t="s">
        <v>419</v>
      </c>
      <c r="S56" t="s">
        <v>420</v>
      </c>
      <c r="T56" t="s">
        <v>2383</v>
      </c>
      <c r="U56" s="2" t="s">
        <v>422</v>
      </c>
      <c r="W56" t="s">
        <v>423</v>
      </c>
      <c r="X56" t="s">
        <v>294</v>
      </c>
      <c r="Y56" s="5" t="s">
        <v>645</v>
      </c>
    </row>
    <row r="57" spans="1:25" ht="14.4">
      <c r="A57">
        <f>(((0.3+0.06+0.11)/2)/10)</f>
        <v>2.35E-2</v>
      </c>
      <c r="B57" t="s">
        <v>36</v>
      </c>
      <c r="C57">
        <v>54.017197511676201</v>
      </c>
      <c r="D57" s="9">
        <v>18.533078379552101</v>
      </c>
      <c r="E57" t="s">
        <v>37</v>
      </c>
      <c r="F57" t="s">
        <v>103</v>
      </c>
      <c r="G57" t="s">
        <v>103</v>
      </c>
      <c r="H57" t="s">
        <v>313</v>
      </c>
      <c r="I57" t="s">
        <v>137</v>
      </c>
      <c r="J57" t="s">
        <v>73</v>
      </c>
      <c r="K57" t="s">
        <v>73</v>
      </c>
      <c r="L57">
        <v>10</v>
      </c>
      <c r="M57">
        <f t="shared" si="2"/>
        <v>49</v>
      </c>
      <c r="N57">
        <v>1972</v>
      </c>
      <c r="O57">
        <v>2021</v>
      </c>
      <c r="P57" t="s">
        <v>140</v>
      </c>
      <c r="Q57" s="187" t="s">
        <v>556</v>
      </c>
      <c r="R57" t="s">
        <v>557</v>
      </c>
      <c r="S57" t="s">
        <v>558</v>
      </c>
      <c r="T57" t="s">
        <v>559</v>
      </c>
      <c r="U57" s="2" t="s">
        <v>560</v>
      </c>
      <c r="X57" t="s">
        <v>294</v>
      </c>
      <c r="Y57" t="s">
        <v>676</v>
      </c>
    </row>
    <row r="58" spans="1:25" ht="14.4">
      <c r="A58">
        <f>(((0.29+0.25+0.23)/2)/10)</f>
        <v>3.85E-2</v>
      </c>
      <c r="B58" t="s">
        <v>36</v>
      </c>
      <c r="C58">
        <v>54.017197511676201</v>
      </c>
      <c r="D58" s="9">
        <v>18.533078379552101</v>
      </c>
      <c r="E58" t="s">
        <v>37</v>
      </c>
      <c r="F58" t="s">
        <v>103</v>
      </c>
      <c r="G58" t="s">
        <v>103</v>
      </c>
      <c r="H58" t="s">
        <v>313</v>
      </c>
      <c r="I58" t="s">
        <v>134</v>
      </c>
      <c r="J58" t="s">
        <v>73</v>
      </c>
      <c r="K58" t="s">
        <v>73</v>
      </c>
      <c r="L58">
        <v>10</v>
      </c>
      <c r="M58">
        <f t="shared" si="2"/>
        <v>49</v>
      </c>
      <c r="N58">
        <v>1972</v>
      </c>
      <c r="O58">
        <v>2021</v>
      </c>
      <c r="P58" t="s">
        <v>140</v>
      </c>
      <c r="Q58" s="187" t="s">
        <v>556</v>
      </c>
      <c r="R58" t="s">
        <v>557</v>
      </c>
      <c r="S58" t="s">
        <v>558</v>
      </c>
      <c r="T58" t="s">
        <v>559</v>
      </c>
      <c r="U58" s="2" t="s">
        <v>560</v>
      </c>
      <c r="X58" t="s">
        <v>294</v>
      </c>
      <c r="Y58" t="s">
        <v>676</v>
      </c>
    </row>
    <row r="59" spans="1:25" s="23" customFormat="1" ht="14.4">
      <c r="A59">
        <f>(((0.22+0.45+0.77)/2)/10)</f>
        <v>7.1999999999999995E-2</v>
      </c>
      <c r="B59" t="s">
        <v>36</v>
      </c>
      <c r="C59">
        <v>54.017197511676201</v>
      </c>
      <c r="D59" s="9">
        <v>18.533078379552101</v>
      </c>
      <c r="E59" t="s">
        <v>37</v>
      </c>
      <c r="F59" t="s">
        <v>103</v>
      </c>
      <c r="G59" t="s">
        <v>103</v>
      </c>
      <c r="H59" t="s">
        <v>313</v>
      </c>
      <c r="I59" t="s">
        <v>137</v>
      </c>
      <c r="J59" t="s">
        <v>81</v>
      </c>
      <c r="K59" t="s">
        <v>81</v>
      </c>
      <c r="L59">
        <v>10</v>
      </c>
      <c r="M59">
        <f t="shared" si="2"/>
        <v>49</v>
      </c>
      <c r="N59">
        <v>1972</v>
      </c>
      <c r="O59">
        <v>2021</v>
      </c>
      <c r="P59" t="s">
        <v>140</v>
      </c>
      <c r="Q59" s="187" t="s">
        <v>556</v>
      </c>
      <c r="R59" t="s">
        <v>557</v>
      </c>
      <c r="S59" t="s">
        <v>558</v>
      </c>
      <c r="T59" t="s">
        <v>559</v>
      </c>
      <c r="U59" s="2" t="s">
        <v>560</v>
      </c>
      <c r="V59"/>
      <c r="W59"/>
      <c r="X59" t="s">
        <v>294</v>
      </c>
      <c r="Y59" t="s">
        <v>676</v>
      </c>
    </row>
    <row r="60" spans="1:25" s="23" customFormat="1" ht="14.4">
      <c r="A60">
        <f>(((0.36+0.82+0.37)/2)/10)</f>
        <v>7.7499999999999986E-2</v>
      </c>
      <c r="B60" t="s">
        <v>36</v>
      </c>
      <c r="C60">
        <v>54.017197511676201</v>
      </c>
      <c r="D60" s="9">
        <v>18.533078379552101</v>
      </c>
      <c r="E60" t="s">
        <v>37</v>
      </c>
      <c r="F60" t="s">
        <v>103</v>
      </c>
      <c r="G60" t="s">
        <v>103</v>
      </c>
      <c r="H60" t="s">
        <v>313</v>
      </c>
      <c r="I60" t="s">
        <v>134</v>
      </c>
      <c r="J60" t="s">
        <v>81</v>
      </c>
      <c r="K60" t="s">
        <v>81</v>
      </c>
      <c r="L60">
        <v>10</v>
      </c>
      <c r="M60">
        <f t="shared" si="2"/>
        <v>49</v>
      </c>
      <c r="N60">
        <v>1972</v>
      </c>
      <c r="O60">
        <v>2021</v>
      </c>
      <c r="P60" t="s">
        <v>140</v>
      </c>
      <c r="Q60" s="187" t="s">
        <v>556</v>
      </c>
      <c r="R60" t="s">
        <v>557</v>
      </c>
      <c r="S60" t="s">
        <v>558</v>
      </c>
      <c r="T60" t="s">
        <v>559</v>
      </c>
      <c r="U60" s="2" t="s">
        <v>560</v>
      </c>
      <c r="V60"/>
      <c r="W60"/>
      <c r="X60" t="s">
        <v>294</v>
      </c>
      <c r="Y60" t="s">
        <v>676</v>
      </c>
    </row>
    <row r="61" spans="1:25" s="23" customFormat="1" ht="14.4">
      <c r="A61">
        <f>(((0.63+0.58+0.59)/2)/10)</f>
        <v>0.09</v>
      </c>
      <c r="B61" t="s">
        <v>36</v>
      </c>
      <c r="C61">
        <v>54.017197511676201</v>
      </c>
      <c r="D61" s="9">
        <v>18.533078379552101</v>
      </c>
      <c r="E61" t="s">
        <v>37</v>
      </c>
      <c r="F61" t="s">
        <v>103</v>
      </c>
      <c r="G61" t="s">
        <v>103</v>
      </c>
      <c r="H61" t="s">
        <v>313</v>
      </c>
      <c r="I61" t="s">
        <v>137</v>
      </c>
      <c r="J61" t="s">
        <v>31</v>
      </c>
      <c r="K61" t="s">
        <v>31</v>
      </c>
      <c r="L61">
        <v>10</v>
      </c>
      <c r="M61">
        <f t="shared" si="2"/>
        <v>49</v>
      </c>
      <c r="N61">
        <v>1972</v>
      </c>
      <c r="O61">
        <v>2021</v>
      </c>
      <c r="P61" t="s">
        <v>140</v>
      </c>
      <c r="Q61" s="187" t="s">
        <v>556</v>
      </c>
      <c r="R61" t="s">
        <v>557</v>
      </c>
      <c r="S61" t="s">
        <v>558</v>
      </c>
      <c r="T61" t="s">
        <v>559</v>
      </c>
      <c r="U61" s="2" t="s">
        <v>560</v>
      </c>
      <c r="V61"/>
      <c r="W61"/>
      <c r="X61" t="s">
        <v>294</v>
      </c>
      <c r="Y61" t="s">
        <v>676</v>
      </c>
    </row>
    <row r="62" spans="1:25" s="23" customFormat="1" ht="15.6" customHeight="1">
      <c r="A62">
        <f>(((0.44+0.62+0.57)/2)/10)</f>
        <v>8.1499999999999989E-2</v>
      </c>
      <c r="B62" t="s">
        <v>36</v>
      </c>
      <c r="C62">
        <v>54.017197511676201</v>
      </c>
      <c r="D62" s="9">
        <v>18.533078379552101</v>
      </c>
      <c r="E62" t="s">
        <v>37</v>
      </c>
      <c r="F62" t="s">
        <v>103</v>
      </c>
      <c r="G62" t="s">
        <v>103</v>
      </c>
      <c r="H62" t="s">
        <v>313</v>
      </c>
      <c r="I62" t="s">
        <v>134</v>
      </c>
      <c r="J62" t="s">
        <v>31</v>
      </c>
      <c r="K62" t="s">
        <v>31</v>
      </c>
      <c r="L62">
        <v>10</v>
      </c>
      <c r="M62">
        <f t="shared" si="2"/>
        <v>49</v>
      </c>
      <c r="N62">
        <v>1972</v>
      </c>
      <c r="O62">
        <v>2021</v>
      </c>
      <c r="P62" t="s">
        <v>140</v>
      </c>
      <c r="Q62" s="187" t="s">
        <v>556</v>
      </c>
      <c r="R62" t="s">
        <v>557</v>
      </c>
      <c r="S62" t="s">
        <v>558</v>
      </c>
      <c r="T62" t="s">
        <v>559</v>
      </c>
      <c r="U62" s="2" t="s">
        <v>560</v>
      </c>
      <c r="V62"/>
      <c r="W62"/>
      <c r="X62" t="s">
        <v>294</v>
      </c>
      <c r="Y62" t="s">
        <v>676</v>
      </c>
    </row>
    <row r="63" spans="1:25" s="23" customFormat="1" ht="14.4">
      <c r="A63">
        <f>(((0.41+0.43+0.47)/2)/10)</f>
        <v>6.5500000000000003E-2</v>
      </c>
      <c r="B63" t="s">
        <v>36</v>
      </c>
      <c r="C63">
        <v>54.017197511676201</v>
      </c>
      <c r="D63" s="9">
        <v>18.533078379552101</v>
      </c>
      <c r="E63" t="s">
        <v>37</v>
      </c>
      <c r="F63" t="s">
        <v>103</v>
      </c>
      <c r="G63" t="s">
        <v>103</v>
      </c>
      <c r="H63" t="s">
        <v>313</v>
      </c>
      <c r="I63" t="s">
        <v>137</v>
      </c>
      <c r="J63" t="s">
        <v>80</v>
      </c>
      <c r="K63" t="s">
        <v>80</v>
      </c>
      <c r="L63">
        <v>10</v>
      </c>
      <c r="M63">
        <f t="shared" si="2"/>
        <v>49</v>
      </c>
      <c r="N63">
        <v>1972</v>
      </c>
      <c r="O63">
        <v>2021</v>
      </c>
      <c r="P63" t="s">
        <v>140</v>
      </c>
      <c r="Q63" s="187" t="s">
        <v>556</v>
      </c>
      <c r="R63" t="s">
        <v>557</v>
      </c>
      <c r="S63" t="s">
        <v>558</v>
      </c>
      <c r="T63" t="s">
        <v>559</v>
      </c>
      <c r="U63" s="2" t="s">
        <v>560</v>
      </c>
      <c r="V63"/>
      <c r="W63"/>
      <c r="X63" t="s">
        <v>294</v>
      </c>
      <c r="Y63" t="s">
        <v>676</v>
      </c>
    </row>
    <row r="64" spans="1:25" s="23" customFormat="1" ht="15.6" customHeight="1">
      <c r="A64">
        <f>(((0.43+0.34+0.41)/2)/10)</f>
        <v>5.8999999999999997E-2</v>
      </c>
      <c r="B64" t="s">
        <v>36</v>
      </c>
      <c r="C64">
        <v>54.017197511676201</v>
      </c>
      <c r="D64" s="9">
        <v>18.533078379552101</v>
      </c>
      <c r="E64" t="s">
        <v>37</v>
      </c>
      <c r="F64" t="s">
        <v>103</v>
      </c>
      <c r="G64" t="s">
        <v>103</v>
      </c>
      <c r="H64" t="s">
        <v>313</v>
      </c>
      <c r="I64" t="s">
        <v>134</v>
      </c>
      <c r="J64" t="s">
        <v>80</v>
      </c>
      <c r="K64" t="s">
        <v>80</v>
      </c>
      <c r="L64">
        <v>10</v>
      </c>
      <c r="M64">
        <f t="shared" si="2"/>
        <v>49</v>
      </c>
      <c r="N64">
        <v>1972</v>
      </c>
      <c r="O64">
        <v>2021</v>
      </c>
      <c r="P64" t="s">
        <v>140</v>
      </c>
      <c r="Q64" s="187" t="s">
        <v>556</v>
      </c>
      <c r="R64" t="s">
        <v>557</v>
      </c>
      <c r="S64" t="s">
        <v>558</v>
      </c>
      <c r="T64" t="s">
        <v>559</v>
      </c>
      <c r="U64" s="2" t="s">
        <v>560</v>
      </c>
      <c r="V64"/>
      <c r="W64"/>
      <c r="X64" t="s">
        <v>294</v>
      </c>
      <c r="Y64" t="s">
        <v>676</v>
      </c>
    </row>
    <row r="65" spans="1:25" s="85" customFormat="1" ht="14.4">
      <c r="A65" s="72">
        <v>3.4000000000000002E-2</v>
      </c>
      <c r="B65" s="72" t="s">
        <v>25</v>
      </c>
      <c r="C65" s="89">
        <v>0</v>
      </c>
      <c r="D65" s="89">
        <v>-176</v>
      </c>
      <c r="E65" s="72" t="s">
        <v>26</v>
      </c>
      <c r="F65" s="72" t="s">
        <v>27</v>
      </c>
      <c r="G65" s="72" t="s">
        <v>28</v>
      </c>
      <c r="H65" s="72" t="s">
        <v>29</v>
      </c>
      <c r="I65" s="72" t="s">
        <v>30</v>
      </c>
      <c r="J65" s="72" t="s">
        <v>31</v>
      </c>
      <c r="K65" s="72" t="s">
        <v>31</v>
      </c>
      <c r="L65" s="72">
        <v>235</v>
      </c>
      <c r="M65" s="72">
        <f>O65-N65</f>
        <v>24</v>
      </c>
      <c r="N65" s="72">
        <v>1985</v>
      </c>
      <c r="O65" s="72">
        <v>2009</v>
      </c>
      <c r="P65" s="72"/>
      <c r="Q65" s="202" t="s">
        <v>32</v>
      </c>
      <c r="R65" s="72" t="s">
        <v>33</v>
      </c>
      <c r="S65" s="72"/>
      <c r="T65" s="72" t="s">
        <v>34</v>
      </c>
      <c r="U65" s="72"/>
      <c r="V65" s="72"/>
      <c r="W65" s="72"/>
      <c r="X65" s="72" t="s">
        <v>35</v>
      </c>
      <c r="Y65" s="72"/>
    </row>
    <row r="66" spans="1:25" s="23" customFormat="1" ht="14.4">
      <c r="A66" s="8">
        <v>2.1000000000000001E-2</v>
      </c>
      <c r="B66" s="124" t="s">
        <v>575</v>
      </c>
      <c r="C66" s="8">
        <v>25</v>
      </c>
      <c r="D66" s="8">
        <v>103</v>
      </c>
      <c r="E66" s="8" t="s">
        <v>47</v>
      </c>
      <c r="F66" s="124" t="s">
        <v>576</v>
      </c>
      <c r="G66" t="s">
        <v>62</v>
      </c>
      <c r="H66" s="124" t="s">
        <v>577</v>
      </c>
      <c r="I66" s="8" t="s">
        <v>30</v>
      </c>
      <c r="J66" s="23" t="s">
        <v>40</v>
      </c>
      <c r="K66" s="124" t="s">
        <v>40</v>
      </c>
      <c r="L66" s="8">
        <v>1</v>
      </c>
      <c r="M66" s="8">
        <v>23</v>
      </c>
      <c r="N66" s="124">
        <v>2000</v>
      </c>
      <c r="O66" s="124">
        <v>2023</v>
      </c>
      <c r="P66" s="8" t="s">
        <v>140</v>
      </c>
      <c r="Q66" s="8" t="s">
        <v>578</v>
      </c>
      <c r="R66" s="124" t="s">
        <v>579</v>
      </c>
      <c r="S66" s="8" t="s">
        <v>580</v>
      </c>
      <c r="T66" s="8"/>
      <c r="U66"/>
      <c r="V66"/>
      <c r="W66"/>
      <c r="X66" t="s">
        <v>219</v>
      </c>
      <c r="Y66" t="s">
        <v>436</v>
      </c>
    </row>
    <row r="67" spans="1:25" s="23" customFormat="1" ht="14.4">
      <c r="A67" s="23">
        <v>3.1E-2</v>
      </c>
      <c r="B67" s="23" t="s">
        <v>82</v>
      </c>
      <c r="C67" s="124">
        <v>29</v>
      </c>
      <c r="D67" s="124">
        <v>113</v>
      </c>
      <c r="E67" t="s">
        <v>37</v>
      </c>
      <c r="F67" s="23" t="s">
        <v>372</v>
      </c>
      <c r="G67" t="s">
        <v>62</v>
      </c>
      <c r="H67" s="23" t="s">
        <v>458</v>
      </c>
      <c r="I67" s="23" t="s">
        <v>30</v>
      </c>
      <c r="J67" s="23" t="s">
        <v>40</v>
      </c>
      <c r="K67" s="23" t="s">
        <v>40</v>
      </c>
      <c r="L67" s="23">
        <v>6</v>
      </c>
      <c r="M67" s="23">
        <f t="shared" ref="M67:M79" si="3">O67-N67</f>
        <v>17</v>
      </c>
      <c r="N67" s="23">
        <v>2001</v>
      </c>
      <c r="O67" s="23">
        <v>2018</v>
      </c>
      <c r="P67" s="23" t="s">
        <v>226</v>
      </c>
      <c r="Q67" s="23" t="s">
        <v>459</v>
      </c>
      <c r="R67" s="23" t="s">
        <v>460</v>
      </c>
      <c r="S67" s="23" t="s">
        <v>461</v>
      </c>
      <c r="U67" s="27"/>
      <c r="W67" s="23" t="s">
        <v>462</v>
      </c>
      <c r="X67" s="23" t="s">
        <v>436</v>
      </c>
      <c r="Y67" t="s">
        <v>219</v>
      </c>
    </row>
    <row r="68" spans="1:25" s="23" customFormat="1" ht="14.4">
      <c r="A68" s="182">
        <v>3.5000000000000003E-2</v>
      </c>
      <c r="B68" s="23" t="s">
        <v>82</v>
      </c>
      <c r="C68" s="124">
        <v>29</v>
      </c>
      <c r="D68" s="124">
        <v>113</v>
      </c>
      <c r="E68" t="s">
        <v>37</v>
      </c>
      <c r="F68" s="23" t="s">
        <v>372</v>
      </c>
      <c r="G68" t="s">
        <v>62</v>
      </c>
      <c r="H68" s="23" t="s">
        <v>458</v>
      </c>
      <c r="I68" s="23" t="s">
        <v>30</v>
      </c>
      <c r="J68" s="192" t="s">
        <v>129</v>
      </c>
      <c r="K68" s="192" t="s">
        <v>81</v>
      </c>
      <c r="L68" s="23">
        <v>6</v>
      </c>
      <c r="M68" s="23">
        <f t="shared" si="3"/>
        <v>17</v>
      </c>
      <c r="N68" s="23">
        <v>2001</v>
      </c>
      <c r="O68" s="23">
        <v>2018</v>
      </c>
      <c r="P68" s="23" t="s">
        <v>226</v>
      </c>
      <c r="Q68" s="23" t="s">
        <v>459</v>
      </c>
      <c r="R68" s="23" t="s">
        <v>460</v>
      </c>
      <c r="S68" s="23" t="s">
        <v>461</v>
      </c>
      <c r="U68" s="27"/>
      <c r="W68" s="23" t="s">
        <v>462</v>
      </c>
      <c r="X68" s="23" t="s">
        <v>436</v>
      </c>
      <c r="Y68" t="s">
        <v>219</v>
      </c>
    </row>
    <row r="69" spans="1:25" s="23" customFormat="1" ht="14.4">
      <c r="A69" s="182">
        <v>3.2000000000000001E-2</v>
      </c>
      <c r="B69" s="23" t="s">
        <v>82</v>
      </c>
      <c r="C69" s="124">
        <v>29</v>
      </c>
      <c r="D69" s="124">
        <v>113</v>
      </c>
      <c r="E69" t="s">
        <v>37</v>
      </c>
      <c r="F69" s="23" t="s">
        <v>372</v>
      </c>
      <c r="G69" t="s">
        <v>62</v>
      </c>
      <c r="H69" s="23" t="s">
        <v>458</v>
      </c>
      <c r="I69" s="23" t="s">
        <v>30</v>
      </c>
      <c r="J69" s="192" t="s">
        <v>129</v>
      </c>
      <c r="K69" s="192" t="s">
        <v>31</v>
      </c>
      <c r="L69" s="23">
        <v>6</v>
      </c>
      <c r="M69" s="23">
        <f t="shared" si="3"/>
        <v>17</v>
      </c>
      <c r="N69" s="23">
        <v>2001</v>
      </c>
      <c r="O69" s="23">
        <v>2018</v>
      </c>
      <c r="P69" s="23" t="s">
        <v>226</v>
      </c>
      <c r="Q69" s="23" t="s">
        <v>459</v>
      </c>
      <c r="R69" s="23" t="s">
        <v>460</v>
      </c>
      <c r="S69" s="23" t="s">
        <v>461</v>
      </c>
      <c r="U69" s="27"/>
      <c r="W69" s="23" t="s">
        <v>462</v>
      </c>
      <c r="X69" s="23" t="s">
        <v>436</v>
      </c>
      <c r="Y69" t="s">
        <v>219</v>
      </c>
    </row>
    <row r="70" spans="1:25" s="23" customFormat="1" ht="14.4">
      <c r="A70" s="182">
        <v>1.7999999999999999E-2</v>
      </c>
      <c r="B70" s="23" t="s">
        <v>82</v>
      </c>
      <c r="C70" s="124">
        <v>29</v>
      </c>
      <c r="D70" s="124">
        <v>113</v>
      </c>
      <c r="E70" t="s">
        <v>37</v>
      </c>
      <c r="F70" s="23" t="s">
        <v>372</v>
      </c>
      <c r="G70" t="s">
        <v>62</v>
      </c>
      <c r="H70" s="23" t="s">
        <v>458</v>
      </c>
      <c r="I70" s="23" t="s">
        <v>30</v>
      </c>
      <c r="J70" s="192" t="s">
        <v>129</v>
      </c>
      <c r="K70" s="192" t="s">
        <v>80</v>
      </c>
      <c r="L70" s="23">
        <v>6</v>
      </c>
      <c r="M70" s="23">
        <f t="shared" si="3"/>
        <v>17</v>
      </c>
      <c r="N70" s="23">
        <v>2001</v>
      </c>
      <c r="O70" s="23">
        <v>2018</v>
      </c>
      <c r="P70" s="23" t="s">
        <v>226</v>
      </c>
      <c r="Q70" s="23" t="s">
        <v>459</v>
      </c>
      <c r="R70" s="23" t="s">
        <v>460</v>
      </c>
      <c r="S70" s="23" t="s">
        <v>461</v>
      </c>
      <c r="U70" s="27"/>
      <c r="W70" s="23" t="s">
        <v>462</v>
      </c>
      <c r="X70" s="23" t="s">
        <v>436</v>
      </c>
      <c r="Y70" t="s">
        <v>219</v>
      </c>
    </row>
    <row r="71" spans="1:25" s="23" customFormat="1" ht="14.4">
      <c r="A71" s="182">
        <v>2.3E-2</v>
      </c>
      <c r="B71" s="23" t="s">
        <v>82</v>
      </c>
      <c r="C71" s="124">
        <v>29</v>
      </c>
      <c r="D71" s="124">
        <v>113</v>
      </c>
      <c r="E71" t="s">
        <v>37</v>
      </c>
      <c r="F71" s="23" t="s">
        <v>372</v>
      </c>
      <c r="G71" t="s">
        <v>62</v>
      </c>
      <c r="H71" s="23" t="s">
        <v>458</v>
      </c>
      <c r="I71" s="23" t="s">
        <v>30</v>
      </c>
      <c r="J71" s="192" t="s">
        <v>129</v>
      </c>
      <c r="K71" s="192" t="s">
        <v>73</v>
      </c>
      <c r="L71" s="23">
        <v>6</v>
      </c>
      <c r="M71" s="23">
        <f t="shared" si="3"/>
        <v>17</v>
      </c>
      <c r="N71" s="23">
        <v>2001</v>
      </c>
      <c r="O71" s="23">
        <v>2018</v>
      </c>
      <c r="P71" s="23" t="s">
        <v>226</v>
      </c>
      <c r="Q71" s="23" t="s">
        <v>459</v>
      </c>
      <c r="R71" s="23" t="s">
        <v>460</v>
      </c>
      <c r="S71" s="23" t="s">
        <v>461</v>
      </c>
      <c r="U71" s="27"/>
      <c r="W71" s="23" t="s">
        <v>462</v>
      </c>
      <c r="X71" s="23" t="s">
        <v>436</v>
      </c>
      <c r="Y71" t="s">
        <v>219</v>
      </c>
    </row>
    <row r="72" spans="1:25" s="23" customFormat="1" ht="14.4">
      <c r="A72" s="182">
        <v>0.03</v>
      </c>
      <c r="B72" s="23" t="s">
        <v>82</v>
      </c>
      <c r="C72" s="124">
        <v>29</v>
      </c>
      <c r="D72" s="124">
        <v>113</v>
      </c>
      <c r="E72" t="s">
        <v>37</v>
      </c>
      <c r="F72" s="23" t="s">
        <v>372</v>
      </c>
      <c r="G72" t="s">
        <v>62</v>
      </c>
      <c r="H72" s="23" t="s">
        <v>458</v>
      </c>
      <c r="I72" s="23" t="s">
        <v>30</v>
      </c>
      <c r="J72" s="182" t="s">
        <v>155</v>
      </c>
      <c r="K72" s="182" t="s">
        <v>155</v>
      </c>
      <c r="L72" s="23">
        <v>6</v>
      </c>
      <c r="M72" s="23">
        <f t="shared" si="3"/>
        <v>17</v>
      </c>
      <c r="N72" s="23">
        <v>2001</v>
      </c>
      <c r="O72" s="23">
        <v>2018</v>
      </c>
      <c r="P72" s="23" t="s">
        <v>226</v>
      </c>
      <c r="Q72" s="23" t="s">
        <v>459</v>
      </c>
      <c r="R72" s="23" t="s">
        <v>460</v>
      </c>
      <c r="S72" s="23" t="s">
        <v>461</v>
      </c>
      <c r="U72" s="27"/>
      <c r="W72" s="23" t="s">
        <v>462</v>
      </c>
      <c r="X72" s="23" t="s">
        <v>436</v>
      </c>
      <c r="Y72" t="s">
        <v>219</v>
      </c>
    </row>
    <row r="73" spans="1:25" s="23" customFormat="1" ht="14.4">
      <c r="A73" s="182">
        <v>3.9E-2</v>
      </c>
      <c r="B73" s="23" t="s">
        <v>82</v>
      </c>
      <c r="C73" s="124">
        <v>29</v>
      </c>
      <c r="D73" s="124">
        <v>113</v>
      </c>
      <c r="E73" t="s">
        <v>37</v>
      </c>
      <c r="F73" s="23" t="s">
        <v>372</v>
      </c>
      <c r="G73" t="s">
        <v>62</v>
      </c>
      <c r="H73" s="23" t="s">
        <v>458</v>
      </c>
      <c r="I73" s="23" t="s">
        <v>30</v>
      </c>
      <c r="J73" s="182" t="s">
        <v>441</v>
      </c>
      <c r="K73" s="182" t="s">
        <v>267</v>
      </c>
      <c r="L73" s="23">
        <v>6</v>
      </c>
      <c r="M73" s="23">
        <f t="shared" si="3"/>
        <v>17</v>
      </c>
      <c r="N73" s="23">
        <v>2001</v>
      </c>
      <c r="O73" s="23">
        <v>2018</v>
      </c>
      <c r="P73" s="23" t="s">
        <v>226</v>
      </c>
      <c r="Q73" s="23" t="s">
        <v>459</v>
      </c>
      <c r="R73" s="23" t="s">
        <v>460</v>
      </c>
      <c r="S73" s="23" t="s">
        <v>461</v>
      </c>
      <c r="U73" s="27"/>
      <c r="W73" s="23" t="s">
        <v>462</v>
      </c>
      <c r="X73" s="23" t="s">
        <v>436</v>
      </c>
      <c r="Y73" t="s">
        <v>219</v>
      </c>
    </row>
    <row r="74" spans="1:25" s="23" customFormat="1" ht="14.4">
      <c r="A74" s="182">
        <v>0.03</v>
      </c>
      <c r="B74" s="23" t="s">
        <v>82</v>
      </c>
      <c r="C74" s="124">
        <v>29</v>
      </c>
      <c r="D74" s="124">
        <v>113</v>
      </c>
      <c r="E74" t="s">
        <v>37</v>
      </c>
      <c r="F74" s="23" t="s">
        <v>372</v>
      </c>
      <c r="G74" t="s">
        <v>62</v>
      </c>
      <c r="H74" s="23" t="s">
        <v>458</v>
      </c>
      <c r="I74" s="23" t="s">
        <v>30</v>
      </c>
      <c r="J74" s="182" t="s">
        <v>441</v>
      </c>
      <c r="K74" s="182" t="s">
        <v>187</v>
      </c>
      <c r="L74" s="23">
        <v>6</v>
      </c>
      <c r="M74" s="23">
        <f t="shared" si="3"/>
        <v>17</v>
      </c>
      <c r="N74" s="23">
        <v>2001</v>
      </c>
      <c r="O74" s="23">
        <v>2018</v>
      </c>
      <c r="P74" s="23" t="s">
        <v>226</v>
      </c>
      <c r="Q74" s="23" t="s">
        <v>459</v>
      </c>
      <c r="R74" s="23" t="s">
        <v>460</v>
      </c>
      <c r="S74" s="23" t="s">
        <v>461</v>
      </c>
      <c r="U74" s="27"/>
      <c r="W74" s="23" t="s">
        <v>462</v>
      </c>
      <c r="X74" s="23" t="s">
        <v>436</v>
      </c>
      <c r="Y74" t="s">
        <v>219</v>
      </c>
    </row>
    <row r="75" spans="1:25" s="23" customFormat="1" ht="14.4">
      <c r="A75" s="182">
        <v>2.1999999999999999E-2</v>
      </c>
      <c r="B75" s="23" t="s">
        <v>82</v>
      </c>
      <c r="C75" s="124">
        <v>29</v>
      </c>
      <c r="D75" s="124">
        <v>113</v>
      </c>
      <c r="E75" t="s">
        <v>37</v>
      </c>
      <c r="F75" s="23" t="s">
        <v>372</v>
      </c>
      <c r="G75" t="s">
        <v>62</v>
      </c>
      <c r="H75" s="23" t="s">
        <v>458</v>
      </c>
      <c r="I75" s="23" t="s">
        <v>30</v>
      </c>
      <c r="J75" s="182" t="s">
        <v>441</v>
      </c>
      <c r="K75" s="182" t="s">
        <v>270</v>
      </c>
      <c r="L75" s="23">
        <v>6</v>
      </c>
      <c r="M75" s="23">
        <f t="shared" si="3"/>
        <v>17</v>
      </c>
      <c r="N75" s="23">
        <v>2001</v>
      </c>
      <c r="O75" s="23">
        <v>2018</v>
      </c>
      <c r="P75" s="23" t="s">
        <v>226</v>
      </c>
      <c r="Q75" s="23" t="s">
        <v>459</v>
      </c>
      <c r="R75" s="23" t="s">
        <v>460</v>
      </c>
      <c r="S75" s="23" t="s">
        <v>461</v>
      </c>
      <c r="U75" s="27"/>
      <c r="W75" s="23" t="s">
        <v>462</v>
      </c>
      <c r="X75" s="23" t="s">
        <v>436</v>
      </c>
      <c r="Y75" t="s">
        <v>219</v>
      </c>
    </row>
    <row r="76" spans="1:25" s="23" customFormat="1" ht="15.6" customHeight="1">
      <c r="A76" s="182">
        <v>4.4999999999999998E-2</v>
      </c>
      <c r="B76" s="23" t="s">
        <v>82</v>
      </c>
      <c r="C76" s="124">
        <v>29</v>
      </c>
      <c r="D76" s="124">
        <v>113</v>
      </c>
      <c r="E76" t="s">
        <v>37</v>
      </c>
      <c r="F76" s="23" t="s">
        <v>372</v>
      </c>
      <c r="G76" t="s">
        <v>62</v>
      </c>
      <c r="H76" s="23" t="s">
        <v>458</v>
      </c>
      <c r="I76" s="23" t="s">
        <v>30</v>
      </c>
      <c r="J76" s="182" t="s">
        <v>441</v>
      </c>
      <c r="K76" s="182" t="s">
        <v>265</v>
      </c>
      <c r="L76" s="23">
        <v>6</v>
      </c>
      <c r="M76" s="23">
        <f t="shared" si="3"/>
        <v>17</v>
      </c>
      <c r="N76" s="23">
        <v>2001</v>
      </c>
      <c r="O76" s="23">
        <v>2018</v>
      </c>
      <c r="P76" s="23" t="s">
        <v>226</v>
      </c>
      <c r="Q76" s="23" t="s">
        <v>459</v>
      </c>
      <c r="R76" s="23" t="s">
        <v>460</v>
      </c>
      <c r="S76" s="23" t="s">
        <v>461</v>
      </c>
      <c r="U76" s="27"/>
      <c r="W76" s="23" t="s">
        <v>462</v>
      </c>
      <c r="X76" s="23" t="s">
        <v>436</v>
      </c>
      <c r="Y76" t="s">
        <v>219</v>
      </c>
    </row>
    <row r="77" spans="1:25" s="23" customFormat="1" ht="14.4">
      <c r="A77">
        <v>0.104</v>
      </c>
      <c r="B77" t="s">
        <v>194</v>
      </c>
      <c r="C77" s="8">
        <v>71</v>
      </c>
      <c r="D77" s="8">
        <v>-75</v>
      </c>
      <c r="E77" t="s">
        <v>47</v>
      </c>
      <c r="F77" t="s">
        <v>177</v>
      </c>
      <c r="G77" t="s">
        <v>103</v>
      </c>
      <c r="H77" t="s">
        <v>29</v>
      </c>
      <c r="I77" t="s">
        <v>195</v>
      </c>
      <c r="J77" t="s">
        <v>196</v>
      </c>
      <c r="K77" t="s">
        <v>31</v>
      </c>
      <c r="L77">
        <v>2</v>
      </c>
      <c r="M77">
        <f t="shared" si="3"/>
        <v>26</v>
      </c>
      <c r="N77">
        <v>1988</v>
      </c>
      <c r="O77">
        <v>2014</v>
      </c>
      <c r="P77" t="s">
        <v>140</v>
      </c>
      <c r="Q77" s="14" t="s">
        <v>197</v>
      </c>
      <c r="R77" t="s">
        <v>198</v>
      </c>
      <c r="S77" s="181" t="s">
        <v>199</v>
      </c>
      <c r="T77" t="s">
        <v>200</v>
      </c>
      <c r="U77" s="2" t="s">
        <v>201</v>
      </c>
      <c r="V77"/>
      <c r="W77" t="s">
        <v>202</v>
      </c>
      <c r="X77" t="s">
        <v>59</v>
      </c>
      <c r="Y77" t="s">
        <v>219</v>
      </c>
    </row>
    <row r="78" spans="1:25" s="23" customFormat="1" ht="14.4">
      <c r="A78">
        <v>7.6999999999999999E-2</v>
      </c>
      <c r="B78" t="s">
        <v>203</v>
      </c>
      <c r="C78" s="8">
        <v>41</v>
      </c>
      <c r="D78" s="8">
        <v>-75</v>
      </c>
      <c r="E78" t="s">
        <v>47</v>
      </c>
      <c r="F78" t="s">
        <v>177</v>
      </c>
      <c r="G78" t="s">
        <v>103</v>
      </c>
      <c r="H78" t="s">
        <v>29</v>
      </c>
      <c r="I78" t="s">
        <v>195</v>
      </c>
      <c r="J78" t="s">
        <v>196</v>
      </c>
      <c r="K78" t="s">
        <v>31</v>
      </c>
      <c r="L78">
        <v>2</v>
      </c>
      <c r="M78">
        <f t="shared" si="3"/>
        <v>26</v>
      </c>
      <c r="N78">
        <v>1988</v>
      </c>
      <c r="O78">
        <v>2014</v>
      </c>
      <c r="P78" t="s">
        <v>140</v>
      </c>
      <c r="Q78" s="14" t="s">
        <v>197</v>
      </c>
      <c r="R78" t="s">
        <v>198</v>
      </c>
      <c r="S78" s="181" t="s">
        <v>199</v>
      </c>
      <c r="T78" t="s">
        <v>200</v>
      </c>
      <c r="U78" s="2" t="s">
        <v>201</v>
      </c>
      <c r="V78"/>
      <c r="W78" t="s">
        <v>202</v>
      </c>
      <c r="X78" t="s">
        <v>59</v>
      </c>
      <c r="Y78" t="s">
        <v>219</v>
      </c>
    </row>
    <row r="79" spans="1:25" s="23" customFormat="1" ht="14.4">
      <c r="A79">
        <v>2.8000000000000001E-2</v>
      </c>
      <c r="B79" t="s">
        <v>109</v>
      </c>
      <c r="C79">
        <v>53.860899201137997</v>
      </c>
      <c r="D79" s="175">
        <v>23.054795239076999</v>
      </c>
      <c r="E79" t="s">
        <v>47</v>
      </c>
      <c r="F79" t="s">
        <v>110</v>
      </c>
      <c r="G79" t="s">
        <v>103</v>
      </c>
      <c r="H79" t="s">
        <v>111</v>
      </c>
      <c r="I79" t="s">
        <v>30</v>
      </c>
      <c r="J79" t="s">
        <v>40</v>
      </c>
      <c r="K79" t="s">
        <v>40</v>
      </c>
      <c r="L79">
        <v>2</v>
      </c>
      <c r="M79">
        <f t="shared" si="3"/>
        <v>69</v>
      </c>
      <c r="N79">
        <v>1954</v>
      </c>
      <c r="O79">
        <v>2023</v>
      </c>
      <c r="P79"/>
      <c r="Q79" s="14" t="s">
        <v>112</v>
      </c>
      <c r="R79" t="s">
        <v>113</v>
      </c>
      <c r="S79" t="s">
        <v>114</v>
      </c>
      <c r="T79" t="s">
        <v>2384</v>
      </c>
      <c r="U79" s="2" t="s">
        <v>116</v>
      </c>
      <c r="V79"/>
      <c r="W79" t="s">
        <v>117</v>
      </c>
      <c r="X79" t="s">
        <v>59</v>
      </c>
      <c r="Y79" t="s">
        <v>645</v>
      </c>
    </row>
    <row r="80" spans="1:25" s="23" customFormat="1" ht="14.4">
      <c r="A80">
        <v>2.5999999999999999E-2</v>
      </c>
      <c r="B80" t="s">
        <v>118</v>
      </c>
      <c r="C80">
        <v>53.865537529487099</v>
      </c>
      <c r="D80" s="175">
        <v>23.1164686173585</v>
      </c>
      <c r="E80" t="s">
        <v>47</v>
      </c>
      <c r="F80" t="s">
        <v>110</v>
      </c>
      <c r="G80" t="s">
        <v>103</v>
      </c>
      <c r="H80" t="s">
        <v>111</v>
      </c>
      <c r="I80" t="s">
        <v>30</v>
      </c>
      <c r="J80" t="s">
        <v>40</v>
      </c>
      <c r="K80" t="s">
        <v>40</v>
      </c>
      <c r="L80">
        <v>2</v>
      </c>
      <c r="M80">
        <v>69</v>
      </c>
      <c r="N80">
        <v>1954</v>
      </c>
      <c r="O80">
        <v>2023</v>
      </c>
      <c r="P80"/>
      <c r="Q80" s="14" t="s">
        <v>112</v>
      </c>
      <c r="R80" t="s">
        <v>113</v>
      </c>
      <c r="S80" t="s">
        <v>114</v>
      </c>
      <c r="T80"/>
      <c r="U80" s="2" t="s">
        <v>119</v>
      </c>
      <c r="V80"/>
      <c r="W80" t="s">
        <v>117</v>
      </c>
      <c r="X80" t="s">
        <v>59</v>
      </c>
      <c r="Y80" t="s">
        <v>645</v>
      </c>
    </row>
    <row r="81" spans="1:26" s="23" customFormat="1" ht="14.4">
      <c r="A81">
        <v>3.5000000000000003E-2</v>
      </c>
      <c r="B81" t="s">
        <v>36</v>
      </c>
      <c r="C81">
        <v>53.700410966266702</v>
      </c>
      <c r="D81" s="9">
        <v>18.467048700489102</v>
      </c>
      <c r="E81" t="s">
        <v>37</v>
      </c>
      <c r="F81" s="8" t="s">
        <v>410</v>
      </c>
      <c r="G81" t="s">
        <v>49</v>
      </c>
      <c r="H81" t="s">
        <v>411</v>
      </c>
      <c r="I81" t="s">
        <v>30</v>
      </c>
      <c r="J81" t="s">
        <v>40</v>
      </c>
      <c r="K81" t="s">
        <v>40</v>
      </c>
      <c r="L81">
        <v>6</v>
      </c>
      <c r="M81">
        <f>(O81-N81)</f>
        <v>29</v>
      </c>
      <c r="N81">
        <v>1994</v>
      </c>
      <c r="O81">
        <v>2023</v>
      </c>
      <c r="P81" t="s">
        <v>140</v>
      </c>
      <c r="Q81" s="8" t="s">
        <v>412</v>
      </c>
      <c r="R81" s="8" t="s">
        <v>413</v>
      </c>
      <c r="S81" t="s">
        <v>414</v>
      </c>
      <c r="T81" t="s">
        <v>683</v>
      </c>
      <c r="U81" s="2" t="s">
        <v>415</v>
      </c>
      <c r="V81"/>
      <c r="W81"/>
      <c r="X81" t="s">
        <v>294</v>
      </c>
      <c r="Y81" t="s">
        <v>2385</v>
      </c>
    </row>
    <row r="82" spans="1:26" s="23" customFormat="1" ht="14.4">
      <c r="A82" s="189">
        <v>2.0400000000000001E-2</v>
      </c>
      <c r="B82" t="s">
        <v>36</v>
      </c>
      <c r="C82">
        <v>53.700410966266702</v>
      </c>
      <c r="D82" s="9">
        <v>18.467048700489102</v>
      </c>
      <c r="E82" t="s">
        <v>37</v>
      </c>
      <c r="F82" s="8" t="s">
        <v>410</v>
      </c>
      <c r="G82" t="s">
        <v>49</v>
      </c>
      <c r="H82" t="s">
        <v>411</v>
      </c>
      <c r="I82" t="s">
        <v>30</v>
      </c>
      <c r="J82" t="s">
        <v>129</v>
      </c>
      <c r="K82" t="s">
        <v>81</v>
      </c>
      <c r="L82">
        <v>6</v>
      </c>
      <c r="M82">
        <f t="shared" ref="M82:M91" si="4">O82-N82</f>
        <v>29</v>
      </c>
      <c r="N82" s="185">
        <v>1994</v>
      </c>
      <c r="O82">
        <v>2023</v>
      </c>
      <c r="P82" s="124" t="s">
        <v>140</v>
      </c>
      <c r="Q82" s="8" t="s">
        <v>412</v>
      </c>
      <c r="R82" s="8" t="s">
        <v>413</v>
      </c>
      <c r="S82" t="s">
        <v>414</v>
      </c>
      <c r="T82" t="s">
        <v>683</v>
      </c>
      <c r="U82" s="2" t="s">
        <v>415</v>
      </c>
      <c r="V82"/>
      <c r="W82"/>
      <c r="X82" t="s">
        <v>219</v>
      </c>
      <c r="Y82" t="s">
        <v>2385</v>
      </c>
    </row>
    <row r="83" spans="1:26" s="23" customFormat="1" ht="14.4">
      <c r="A83" s="189">
        <v>3.2199999999999999E-2</v>
      </c>
      <c r="B83" t="s">
        <v>36</v>
      </c>
      <c r="C83">
        <v>53.700410966266702</v>
      </c>
      <c r="D83" s="9">
        <v>18.467048700489102</v>
      </c>
      <c r="E83" t="s">
        <v>37</v>
      </c>
      <c r="F83" s="8" t="s">
        <v>410</v>
      </c>
      <c r="G83" t="s">
        <v>49</v>
      </c>
      <c r="H83" t="s">
        <v>411</v>
      </c>
      <c r="I83" t="s">
        <v>30</v>
      </c>
      <c r="J83" t="s">
        <v>129</v>
      </c>
      <c r="K83" t="s">
        <v>31</v>
      </c>
      <c r="L83">
        <v>6</v>
      </c>
      <c r="M83">
        <f t="shared" si="4"/>
        <v>29</v>
      </c>
      <c r="N83" s="185">
        <v>1994</v>
      </c>
      <c r="O83">
        <v>2023</v>
      </c>
      <c r="P83" s="124" t="s">
        <v>140</v>
      </c>
      <c r="Q83" s="8" t="s">
        <v>412</v>
      </c>
      <c r="R83" s="8" t="s">
        <v>413</v>
      </c>
      <c r="S83" t="s">
        <v>414</v>
      </c>
      <c r="T83" t="s">
        <v>683</v>
      </c>
      <c r="U83" s="2" t="s">
        <v>415</v>
      </c>
      <c r="V83"/>
      <c r="W83"/>
      <c r="X83" t="s">
        <v>219</v>
      </c>
      <c r="Y83" t="s">
        <v>2385</v>
      </c>
    </row>
    <row r="84" spans="1:26" s="23" customFormat="1" ht="14.4">
      <c r="A84" s="189">
        <v>3.8800000000000001E-2</v>
      </c>
      <c r="B84" t="s">
        <v>36</v>
      </c>
      <c r="C84">
        <v>53.700410966266702</v>
      </c>
      <c r="D84" s="9">
        <v>18.467048700489102</v>
      </c>
      <c r="E84" t="s">
        <v>37</v>
      </c>
      <c r="F84" s="8" t="s">
        <v>410</v>
      </c>
      <c r="G84" t="s">
        <v>49</v>
      </c>
      <c r="H84" t="s">
        <v>411</v>
      </c>
      <c r="I84" t="s">
        <v>30</v>
      </c>
      <c r="J84" t="s">
        <v>129</v>
      </c>
      <c r="K84" t="s">
        <v>80</v>
      </c>
      <c r="L84">
        <v>6</v>
      </c>
      <c r="M84">
        <f t="shared" si="4"/>
        <v>29</v>
      </c>
      <c r="N84" s="185">
        <v>1994</v>
      </c>
      <c r="O84">
        <v>2023</v>
      </c>
      <c r="P84" s="124" t="s">
        <v>140</v>
      </c>
      <c r="Q84" s="8" t="s">
        <v>412</v>
      </c>
      <c r="R84" s="8" t="s">
        <v>413</v>
      </c>
      <c r="S84" t="s">
        <v>414</v>
      </c>
      <c r="T84" t="s">
        <v>683</v>
      </c>
      <c r="U84" s="2" t="s">
        <v>415</v>
      </c>
      <c r="V84"/>
      <c r="W84"/>
      <c r="X84" t="s">
        <v>219</v>
      </c>
      <c r="Y84" t="s">
        <v>2385</v>
      </c>
    </row>
    <row r="85" spans="1:26" s="23" customFormat="1" ht="14.4">
      <c r="A85" s="189">
        <v>2.1399999999999999E-2</v>
      </c>
      <c r="B85" t="s">
        <v>36</v>
      </c>
      <c r="C85">
        <v>53.700410966266702</v>
      </c>
      <c r="D85" s="9">
        <v>18.467048700489102</v>
      </c>
      <c r="E85" t="s">
        <v>37</v>
      </c>
      <c r="F85" s="8" t="s">
        <v>410</v>
      </c>
      <c r="G85" t="s">
        <v>49</v>
      </c>
      <c r="H85" t="s">
        <v>411</v>
      </c>
      <c r="I85" t="s">
        <v>30</v>
      </c>
      <c r="J85" t="s">
        <v>129</v>
      </c>
      <c r="K85" t="s">
        <v>73</v>
      </c>
      <c r="L85">
        <v>6</v>
      </c>
      <c r="M85">
        <f t="shared" si="4"/>
        <v>29</v>
      </c>
      <c r="N85" s="185">
        <v>1994</v>
      </c>
      <c r="O85">
        <v>2023</v>
      </c>
      <c r="P85" s="124" t="s">
        <v>140</v>
      </c>
      <c r="Q85" s="8" t="s">
        <v>412</v>
      </c>
      <c r="R85" s="8" t="s">
        <v>413</v>
      </c>
      <c r="S85" t="s">
        <v>414</v>
      </c>
      <c r="T85" t="s">
        <v>683</v>
      </c>
      <c r="U85" s="2" t="s">
        <v>415</v>
      </c>
      <c r="V85"/>
      <c r="W85"/>
      <c r="X85" t="s">
        <v>219</v>
      </c>
      <c r="Y85" t="s">
        <v>2385</v>
      </c>
    </row>
    <row r="86" spans="1:26" ht="15" customHeight="1">
      <c r="A86">
        <v>0.1</v>
      </c>
      <c r="B86" t="s">
        <v>70</v>
      </c>
      <c r="C86">
        <v>31.675255626368699</v>
      </c>
      <c r="D86" s="9">
        <v>87.801174559325503</v>
      </c>
      <c r="E86" t="s">
        <v>37</v>
      </c>
      <c r="F86" t="s">
        <v>232</v>
      </c>
      <c r="G86" t="s">
        <v>49</v>
      </c>
      <c r="H86" t="s">
        <v>29</v>
      </c>
      <c r="I86" t="s">
        <v>30</v>
      </c>
      <c r="J86" t="s">
        <v>40</v>
      </c>
      <c r="K86" t="s">
        <v>40</v>
      </c>
      <c r="L86">
        <v>298</v>
      </c>
      <c r="M86">
        <f t="shared" si="4"/>
        <v>22</v>
      </c>
      <c r="N86">
        <v>2000</v>
      </c>
      <c r="O86">
        <v>2022</v>
      </c>
      <c r="P86" t="s">
        <v>226</v>
      </c>
      <c r="Q86" s="14" t="s">
        <v>233</v>
      </c>
      <c r="R86" t="s">
        <v>234</v>
      </c>
      <c r="S86" t="s">
        <v>235</v>
      </c>
      <c r="T86" t="s">
        <v>236</v>
      </c>
      <c r="U86" s="2" t="s">
        <v>237</v>
      </c>
      <c r="X86" t="s">
        <v>59</v>
      </c>
      <c r="Y86" s="181" t="s">
        <v>294</v>
      </c>
    </row>
    <row r="87" spans="1:26" ht="15" customHeight="1">
      <c r="A87">
        <v>0.05</v>
      </c>
      <c r="B87" t="s">
        <v>70</v>
      </c>
      <c r="C87">
        <v>31.675255626368699</v>
      </c>
      <c r="D87" s="9">
        <v>87.801174559325503</v>
      </c>
      <c r="E87" t="s">
        <v>37</v>
      </c>
      <c r="F87" t="s">
        <v>232</v>
      </c>
      <c r="G87" t="s">
        <v>49</v>
      </c>
      <c r="H87" t="s">
        <v>29</v>
      </c>
      <c r="I87" t="s">
        <v>30</v>
      </c>
      <c r="J87" t="s">
        <v>31</v>
      </c>
      <c r="K87" t="s">
        <v>31</v>
      </c>
      <c r="L87">
        <v>298</v>
      </c>
      <c r="M87">
        <f t="shared" si="4"/>
        <v>22</v>
      </c>
      <c r="N87">
        <v>2000</v>
      </c>
      <c r="O87">
        <v>2022</v>
      </c>
      <c r="P87" t="s">
        <v>226</v>
      </c>
      <c r="Q87" s="14" t="s">
        <v>233</v>
      </c>
      <c r="R87" t="s">
        <v>234</v>
      </c>
      <c r="S87" t="s">
        <v>235</v>
      </c>
      <c r="T87" t="s">
        <v>238</v>
      </c>
      <c r="U87" s="2" t="s">
        <v>237</v>
      </c>
      <c r="X87" t="s">
        <v>59</v>
      </c>
      <c r="Y87" s="181" t="s">
        <v>294</v>
      </c>
    </row>
    <row r="88" spans="1:26" ht="15" customHeight="1">
      <c r="A88">
        <v>-0.08</v>
      </c>
      <c r="B88" t="s">
        <v>70</v>
      </c>
      <c r="C88">
        <v>31.675255626368699</v>
      </c>
      <c r="D88" s="9">
        <v>87.801174559325503</v>
      </c>
      <c r="E88" t="s">
        <v>37</v>
      </c>
      <c r="F88" t="s">
        <v>232</v>
      </c>
      <c r="G88" t="s">
        <v>49</v>
      </c>
      <c r="H88" t="s">
        <v>29</v>
      </c>
      <c r="I88" t="s">
        <v>30</v>
      </c>
      <c r="J88" t="s">
        <v>73</v>
      </c>
      <c r="K88" t="s">
        <v>73</v>
      </c>
      <c r="L88">
        <v>298</v>
      </c>
      <c r="M88">
        <f t="shared" si="4"/>
        <v>22</v>
      </c>
      <c r="N88">
        <v>2000</v>
      </c>
      <c r="O88">
        <v>2022</v>
      </c>
      <c r="P88" t="s">
        <v>226</v>
      </c>
      <c r="Q88" s="14" t="s">
        <v>233</v>
      </c>
      <c r="R88" t="s">
        <v>234</v>
      </c>
      <c r="S88" t="s">
        <v>235</v>
      </c>
      <c r="T88" t="s">
        <v>238</v>
      </c>
      <c r="U88" s="2" t="s">
        <v>237</v>
      </c>
      <c r="X88" t="s">
        <v>59</v>
      </c>
      <c r="Y88" s="181" t="s">
        <v>294</v>
      </c>
    </row>
    <row r="89" spans="1:26" ht="15" customHeight="1">
      <c r="A89">
        <v>0.19</v>
      </c>
      <c r="B89" t="s">
        <v>70</v>
      </c>
      <c r="C89">
        <v>31.675255626368699</v>
      </c>
      <c r="D89" s="9">
        <v>87.801174559325503</v>
      </c>
      <c r="E89" t="s">
        <v>37</v>
      </c>
      <c r="F89" t="s">
        <v>232</v>
      </c>
      <c r="G89" t="s">
        <v>49</v>
      </c>
      <c r="H89" t="s">
        <v>29</v>
      </c>
      <c r="I89" t="s">
        <v>30</v>
      </c>
      <c r="J89" t="s">
        <v>81</v>
      </c>
      <c r="K89" t="s">
        <v>81</v>
      </c>
      <c r="L89">
        <v>298</v>
      </c>
      <c r="M89">
        <f t="shared" si="4"/>
        <v>22</v>
      </c>
      <c r="N89">
        <v>2000</v>
      </c>
      <c r="O89">
        <v>2022</v>
      </c>
      <c r="P89" t="s">
        <v>226</v>
      </c>
      <c r="Q89" s="14" t="s">
        <v>233</v>
      </c>
      <c r="R89" t="s">
        <v>234</v>
      </c>
      <c r="S89" t="s">
        <v>235</v>
      </c>
      <c r="T89" t="s">
        <v>238</v>
      </c>
      <c r="U89" s="2" t="s">
        <v>237</v>
      </c>
      <c r="X89" t="s">
        <v>59</v>
      </c>
      <c r="Y89" s="181" t="s">
        <v>294</v>
      </c>
    </row>
    <row r="90" spans="1:26" ht="15" customHeight="1">
      <c r="A90">
        <v>0.4</v>
      </c>
      <c r="B90" t="s">
        <v>70</v>
      </c>
      <c r="C90">
        <v>31.675255626368699</v>
      </c>
      <c r="D90" s="9">
        <v>87.801174559325503</v>
      </c>
      <c r="E90" t="s">
        <v>37</v>
      </c>
      <c r="F90" t="s">
        <v>232</v>
      </c>
      <c r="G90" t="s">
        <v>49</v>
      </c>
      <c r="H90" t="s">
        <v>29</v>
      </c>
      <c r="I90" t="s">
        <v>30</v>
      </c>
      <c r="J90" t="s">
        <v>80</v>
      </c>
      <c r="K90" t="s">
        <v>80</v>
      </c>
      <c r="L90">
        <v>298</v>
      </c>
      <c r="M90">
        <f t="shared" si="4"/>
        <v>22</v>
      </c>
      <c r="N90">
        <v>2000</v>
      </c>
      <c r="O90">
        <v>2022</v>
      </c>
      <c r="P90" t="s">
        <v>226</v>
      </c>
      <c r="Q90" s="14" t="s">
        <v>233</v>
      </c>
      <c r="R90" t="s">
        <v>234</v>
      </c>
      <c r="S90" t="s">
        <v>235</v>
      </c>
      <c r="T90" t="s">
        <v>238</v>
      </c>
      <c r="U90" s="2" t="s">
        <v>237</v>
      </c>
      <c r="X90" t="s">
        <v>59</v>
      </c>
      <c r="Y90" s="181" t="s">
        <v>294</v>
      </c>
    </row>
    <row r="91" spans="1:26" s="72" customFormat="1" ht="15" customHeight="1">
      <c r="A91" s="85">
        <v>4.4999999999999998E-2</v>
      </c>
      <c r="B91" s="72" t="s">
        <v>26</v>
      </c>
      <c r="C91" s="89">
        <v>0</v>
      </c>
      <c r="D91" s="89">
        <v>-131.19999999999999</v>
      </c>
      <c r="E91" s="72" t="s">
        <v>26</v>
      </c>
      <c r="F91" s="85" t="s">
        <v>431</v>
      </c>
      <c r="G91" s="72" t="s">
        <v>62</v>
      </c>
      <c r="H91" s="85" t="s">
        <v>432</v>
      </c>
      <c r="I91" s="85" t="s">
        <v>30</v>
      </c>
      <c r="J91" s="85" t="s">
        <v>40</v>
      </c>
      <c r="K91" s="85" t="s">
        <v>40</v>
      </c>
      <c r="L91" s="85">
        <v>113</v>
      </c>
      <c r="M91" s="85">
        <f t="shared" si="4"/>
        <v>24</v>
      </c>
      <c r="N91" s="85">
        <v>1985</v>
      </c>
      <c r="O91" s="85">
        <v>2009</v>
      </c>
      <c r="P91" s="85"/>
      <c r="Q91" s="85" t="s">
        <v>433</v>
      </c>
      <c r="R91" s="85" t="s">
        <v>434</v>
      </c>
      <c r="S91" s="85" t="s">
        <v>76</v>
      </c>
      <c r="T91" s="85"/>
      <c r="U91" s="203" t="s">
        <v>435</v>
      </c>
      <c r="V91" s="85"/>
      <c r="W91" s="85"/>
      <c r="X91" s="85" t="s">
        <v>436</v>
      </c>
      <c r="Y91" s="85" t="s">
        <v>335</v>
      </c>
      <c r="Z91" s="72" t="s">
        <v>2386</v>
      </c>
    </row>
    <row r="92" spans="1:26" s="72" customFormat="1" ht="15" customHeight="1">
      <c r="A92" s="89">
        <v>4.4999999999999998E-2</v>
      </c>
      <c r="B92" s="89" t="s">
        <v>26</v>
      </c>
      <c r="C92" s="89">
        <v>0</v>
      </c>
      <c r="D92" s="89">
        <v>-131.19999999999999</v>
      </c>
      <c r="E92" s="89" t="s">
        <v>26</v>
      </c>
      <c r="F92" s="89" t="s">
        <v>660</v>
      </c>
      <c r="G92" s="89" t="s">
        <v>62</v>
      </c>
      <c r="H92" s="89" t="s">
        <v>432</v>
      </c>
      <c r="I92" s="89" t="s">
        <v>30</v>
      </c>
      <c r="J92" s="198" t="s">
        <v>155</v>
      </c>
      <c r="K92" s="198" t="s">
        <v>155</v>
      </c>
      <c r="L92" s="89">
        <v>113</v>
      </c>
      <c r="M92" s="89">
        <v>24</v>
      </c>
      <c r="N92" s="89">
        <v>1985</v>
      </c>
      <c r="O92" s="89">
        <v>2009</v>
      </c>
      <c r="P92" s="89"/>
      <c r="Q92" s="198" t="s">
        <v>433</v>
      </c>
      <c r="R92" s="89" t="s">
        <v>661</v>
      </c>
      <c r="S92" s="204" t="s">
        <v>76</v>
      </c>
      <c r="T92" s="204"/>
      <c r="U92" s="84" t="s">
        <v>435</v>
      </c>
      <c r="V92" s="205"/>
      <c r="W92" s="89" t="s">
        <v>662</v>
      </c>
      <c r="X92" s="89" t="s">
        <v>436</v>
      </c>
      <c r="Y92" s="89" t="s">
        <v>335</v>
      </c>
      <c r="Z92" s="72" t="s">
        <v>2386</v>
      </c>
    </row>
    <row r="93" spans="1:26" s="72" customFormat="1" ht="15" customHeight="1">
      <c r="A93" s="85">
        <v>0.11</v>
      </c>
      <c r="B93" s="85" t="s">
        <v>437</v>
      </c>
      <c r="C93" s="85">
        <v>38.117850674153601</v>
      </c>
      <c r="D93" s="85">
        <v>-118.75937390314</v>
      </c>
      <c r="E93" s="72" t="s">
        <v>37</v>
      </c>
      <c r="F93" s="85" t="s">
        <v>438</v>
      </c>
      <c r="G93" s="72" t="s">
        <v>62</v>
      </c>
      <c r="H93" s="85" t="s">
        <v>439</v>
      </c>
      <c r="I93" s="85" t="s">
        <v>440</v>
      </c>
      <c r="J93" s="89" t="s">
        <v>441</v>
      </c>
      <c r="K93" s="85" t="s">
        <v>187</v>
      </c>
      <c r="L93" s="85">
        <v>6</v>
      </c>
      <c r="M93" s="85">
        <f>O93-N93</f>
        <v>16</v>
      </c>
      <c r="N93" s="85">
        <v>1992</v>
      </c>
      <c r="O93" s="85">
        <v>2008</v>
      </c>
      <c r="P93" s="85"/>
      <c r="Q93" s="85" t="s">
        <v>442</v>
      </c>
      <c r="R93" s="85" t="s">
        <v>443</v>
      </c>
      <c r="S93" s="85" t="s">
        <v>76</v>
      </c>
      <c r="T93" s="85"/>
      <c r="U93" s="203" t="s">
        <v>444</v>
      </c>
      <c r="V93" s="85"/>
      <c r="W93" s="85"/>
      <c r="X93" s="85" t="s">
        <v>436</v>
      </c>
      <c r="Y93" s="85"/>
      <c r="Z93" s="72" t="s">
        <v>2387</v>
      </c>
    </row>
    <row r="94" spans="1:26" s="208" customFormat="1" ht="15" customHeight="1">
      <c r="A94" s="206">
        <v>0.12</v>
      </c>
      <c r="B94" s="206" t="s">
        <v>437</v>
      </c>
      <c r="C94" s="207">
        <v>38.117849999999997</v>
      </c>
      <c r="D94" s="207">
        <v>-118.759</v>
      </c>
      <c r="E94" s="206" t="s">
        <v>37</v>
      </c>
      <c r="F94" s="206" t="s">
        <v>185</v>
      </c>
      <c r="G94" s="206" t="s">
        <v>62</v>
      </c>
      <c r="H94" s="206" t="s">
        <v>663</v>
      </c>
      <c r="I94" s="206" t="s">
        <v>30</v>
      </c>
      <c r="J94" s="206" t="s">
        <v>129</v>
      </c>
      <c r="K94" s="206" t="s">
        <v>187</v>
      </c>
      <c r="L94" s="206">
        <v>6</v>
      </c>
      <c r="M94" s="206">
        <v>16</v>
      </c>
      <c r="N94" s="206">
        <v>1992</v>
      </c>
      <c r="O94" s="206">
        <v>2008</v>
      </c>
      <c r="P94" s="206" t="s">
        <v>140</v>
      </c>
      <c r="Q94" s="207" t="s">
        <v>442</v>
      </c>
      <c r="R94" s="206" t="s">
        <v>664</v>
      </c>
      <c r="S94" s="206" t="s">
        <v>76</v>
      </c>
      <c r="T94" s="206"/>
      <c r="U94" s="206" t="s">
        <v>665</v>
      </c>
      <c r="V94" s="206"/>
      <c r="W94" s="206"/>
      <c r="X94" s="206"/>
      <c r="Y94" s="206" t="s">
        <v>294</v>
      </c>
      <c r="Z94" s="72" t="s">
        <v>2387</v>
      </c>
    </row>
    <row r="95" spans="1:26" ht="15" customHeight="1">
      <c r="A95">
        <v>3.2000000000000001E-2</v>
      </c>
      <c r="B95" t="s">
        <v>70</v>
      </c>
      <c r="C95">
        <v>34</v>
      </c>
      <c r="D95">
        <v>79</v>
      </c>
      <c r="E95" t="s">
        <v>37</v>
      </c>
      <c r="F95" t="s">
        <v>204</v>
      </c>
      <c r="G95" t="s">
        <v>49</v>
      </c>
      <c r="H95" t="s">
        <v>84</v>
      </c>
      <c r="I95" t="s">
        <v>30</v>
      </c>
      <c r="J95" s="181" t="s">
        <v>205</v>
      </c>
      <c r="K95" t="s">
        <v>31</v>
      </c>
      <c r="L95">
        <v>81</v>
      </c>
      <c r="M95">
        <f>O95-N95</f>
        <v>38</v>
      </c>
      <c r="N95">
        <v>1980</v>
      </c>
      <c r="O95">
        <v>2018</v>
      </c>
      <c r="P95" t="s">
        <v>140</v>
      </c>
      <c r="Q95" s="8" t="s">
        <v>206</v>
      </c>
      <c r="R95" s="181" t="s">
        <v>207</v>
      </c>
      <c r="S95" t="s">
        <v>208</v>
      </c>
      <c r="T95" t="s">
        <v>209</v>
      </c>
      <c r="U95" s="2" t="s">
        <v>210</v>
      </c>
      <c r="W95" t="s">
        <v>212</v>
      </c>
      <c r="X95" t="s">
        <v>59</v>
      </c>
      <c r="Y95" t="s">
        <v>2388</v>
      </c>
    </row>
    <row r="96" spans="1:26" ht="15" customHeight="1">
      <c r="A96">
        <v>2.5000000000000001E-2</v>
      </c>
      <c r="B96" t="s">
        <v>639</v>
      </c>
      <c r="C96">
        <v>36</v>
      </c>
      <c r="D96">
        <v>140.22</v>
      </c>
      <c r="E96" t="s">
        <v>47</v>
      </c>
      <c r="F96" t="s">
        <v>103</v>
      </c>
      <c r="G96" t="s">
        <v>103</v>
      </c>
      <c r="H96" t="s">
        <v>84</v>
      </c>
      <c r="I96" t="s">
        <v>30</v>
      </c>
      <c r="J96" s="10" t="s">
        <v>640</v>
      </c>
      <c r="K96" t="s">
        <v>73</v>
      </c>
      <c r="L96">
        <v>1</v>
      </c>
      <c r="M96">
        <v>27</v>
      </c>
      <c r="N96">
        <v>1992</v>
      </c>
      <c r="O96">
        <v>2019</v>
      </c>
      <c r="Q96" s="152" t="s">
        <v>670</v>
      </c>
      <c r="R96" t="s">
        <v>671</v>
      </c>
      <c r="S96" t="s">
        <v>642</v>
      </c>
      <c r="T96" t="s">
        <v>672</v>
      </c>
      <c r="W96" t="s">
        <v>644</v>
      </c>
      <c r="X96" t="s">
        <v>645</v>
      </c>
      <c r="Y96" t="s">
        <v>59</v>
      </c>
    </row>
    <row r="97" spans="1:26" ht="15" customHeight="1">
      <c r="A97">
        <v>5.6000000000000001E-2</v>
      </c>
      <c r="B97" t="s">
        <v>639</v>
      </c>
      <c r="C97">
        <v>36</v>
      </c>
      <c r="D97">
        <v>140.22</v>
      </c>
      <c r="E97" t="s">
        <v>47</v>
      </c>
      <c r="F97" t="s">
        <v>103</v>
      </c>
      <c r="G97" t="s">
        <v>103</v>
      </c>
      <c r="H97" t="s">
        <v>84</v>
      </c>
      <c r="I97" t="s">
        <v>30</v>
      </c>
      <c r="J97" t="s">
        <v>640</v>
      </c>
      <c r="K97" t="s">
        <v>81</v>
      </c>
      <c r="L97">
        <v>1</v>
      </c>
      <c r="M97">
        <v>27</v>
      </c>
      <c r="N97">
        <v>1992</v>
      </c>
      <c r="O97">
        <v>2019</v>
      </c>
      <c r="Q97" s="152" t="s">
        <v>670</v>
      </c>
      <c r="R97" t="s">
        <v>671</v>
      </c>
      <c r="S97" t="s">
        <v>642</v>
      </c>
      <c r="W97" t="s">
        <v>644</v>
      </c>
      <c r="X97" t="s">
        <v>645</v>
      </c>
      <c r="Y97" t="s">
        <v>59</v>
      </c>
    </row>
    <row r="98" spans="1:26" ht="15" customHeight="1">
      <c r="A98">
        <v>6.4000000000000001E-2</v>
      </c>
      <c r="B98" t="s">
        <v>639</v>
      </c>
      <c r="C98">
        <v>36</v>
      </c>
      <c r="D98">
        <v>140.22</v>
      </c>
      <c r="E98" t="s">
        <v>47</v>
      </c>
      <c r="F98" t="s">
        <v>103</v>
      </c>
      <c r="G98" t="s">
        <v>103</v>
      </c>
      <c r="H98" t="s">
        <v>84</v>
      </c>
      <c r="I98" t="s">
        <v>30</v>
      </c>
      <c r="J98" t="s">
        <v>640</v>
      </c>
      <c r="K98" t="s">
        <v>31</v>
      </c>
      <c r="L98">
        <v>1</v>
      </c>
      <c r="M98">
        <v>27</v>
      </c>
      <c r="N98">
        <v>1992</v>
      </c>
      <c r="O98">
        <v>2019</v>
      </c>
      <c r="Q98" s="152" t="s">
        <v>670</v>
      </c>
      <c r="R98" t="s">
        <v>671</v>
      </c>
      <c r="S98" t="s">
        <v>642</v>
      </c>
      <c r="W98" t="s">
        <v>644</v>
      </c>
      <c r="X98" t="s">
        <v>645</v>
      </c>
      <c r="Y98" t="s">
        <v>59</v>
      </c>
    </row>
    <row r="99" spans="1:26" ht="15" customHeight="1">
      <c r="A99">
        <v>4.1000000000000002E-2</v>
      </c>
      <c r="B99" t="s">
        <v>639</v>
      </c>
      <c r="C99">
        <v>36</v>
      </c>
      <c r="D99">
        <v>140.22</v>
      </c>
      <c r="E99" t="s">
        <v>47</v>
      </c>
      <c r="F99" t="s">
        <v>103</v>
      </c>
      <c r="G99" t="s">
        <v>103</v>
      </c>
      <c r="H99" t="s">
        <v>84</v>
      </c>
      <c r="I99" t="s">
        <v>30</v>
      </c>
      <c r="J99" s="10" t="s">
        <v>640</v>
      </c>
      <c r="K99" t="s">
        <v>80</v>
      </c>
      <c r="L99">
        <v>1</v>
      </c>
      <c r="M99">
        <v>27</v>
      </c>
      <c r="N99">
        <v>1992</v>
      </c>
      <c r="O99">
        <v>2019</v>
      </c>
      <c r="Q99" s="152" t="s">
        <v>670</v>
      </c>
      <c r="R99" t="s">
        <v>671</v>
      </c>
      <c r="S99" t="s">
        <v>642</v>
      </c>
      <c r="W99" t="s">
        <v>644</v>
      </c>
      <c r="X99" t="s">
        <v>645</v>
      </c>
      <c r="Y99" t="s">
        <v>59</v>
      </c>
    </row>
    <row r="100" spans="1:26" ht="15" customHeight="1">
      <c r="A100">
        <v>3.3099999999999997E-2</v>
      </c>
      <c r="B100" t="s">
        <v>526</v>
      </c>
      <c r="C100" s="8">
        <v>0</v>
      </c>
      <c r="D100" s="8">
        <v>-86.4</v>
      </c>
      <c r="E100" t="s">
        <v>26</v>
      </c>
      <c r="F100" s="23" t="s">
        <v>527</v>
      </c>
      <c r="G100" t="s">
        <v>62</v>
      </c>
      <c r="H100" s="23" t="s">
        <v>528</v>
      </c>
      <c r="I100" s="23" t="s">
        <v>30</v>
      </c>
      <c r="J100" s="23" t="s">
        <v>40</v>
      </c>
      <c r="K100" t="s">
        <v>40</v>
      </c>
      <c r="L100" s="23">
        <v>10</v>
      </c>
      <c r="M100" s="23">
        <f>O100-N100</f>
        <v>17</v>
      </c>
      <c r="N100" s="23">
        <v>2003</v>
      </c>
      <c r="O100" s="23">
        <v>2020</v>
      </c>
      <c r="P100" s="23" t="s">
        <v>387</v>
      </c>
      <c r="Q100" s="23" t="s">
        <v>529</v>
      </c>
      <c r="R100" s="23" t="s">
        <v>530</v>
      </c>
      <c r="S100" s="23"/>
      <c r="T100" s="23" t="s">
        <v>531</v>
      </c>
      <c r="U100" s="23"/>
      <c r="V100" s="23"/>
      <c r="W100" s="23"/>
      <c r="X100" s="23" t="s">
        <v>436</v>
      </c>
      <c r="Y100" s="8" t="s">
        <v>335</v>
      </c>
    </row>
    <row r="101" spans="1:26" ht="15" customHeight="1">
      <c r="A101">
        <v>3.8800000000000001E-2</v>
      </c>
      <c r="B101" t="s">
        <v>526</v>
      </c>
      <c r="C101" s="8">
        <v>0</v>
      </c>
      <c r="D101" s="8">
        <v>-86.4</v>
      </c>
      <c r="E101" t="s">
        <v>26</v>
      </c>
      <c r="F101" s="23" t="s">
        <v>532</v>
      </c>
      <c r="G101" t="s">
        <v>62</v>
      </c>
      <c r="H101" s="23" t="s">
        <v>533</v>
      </c>
      <c r="I101" s="23" t="s">
        <v>30</v>
      </c>
      <c r="J101" s="23" t="s">
        <v>40</v>
      </c>
      <c r="K101" t="s">
        <v>40</v>
      </c>
      <c r="L101" s="23">
        <v>10</v>
      </c>
      <c r="M101" s="23">
        <f>O101-N101</f>
        <v>17</v>
      </c>
      <c r="N101" s="23">
        <v>2003</v>
      </c>
      <c r="O101" s="23">
        <v>2020</v>
      </c>
      <c r="P101" s="23" t="s">
        <v>387</v>
      </c>
      <c r="Q101" s="23" t="s">
        <v>529</v>
      </c>
      <c r="R101" s="23" t="s">
        <v>530</v>
      </c>
      <c r="S101" s="23"/>
      <c r="T101" s="23" t="s">
        <v>531</v>
      </c>
      <c r="U101" s="23"/>
      <c r="V101" s="23"/>
      <c r="W101" s="23"/>
      <c r="X101" s="23" t="s">
        <v>436</v>
      </c>
      <c r="Y101" s="8" t="s">
        <v>335</v>
      </c>
    </row>
    <row r="102" spans="1:26" s="72" customFormat="1" ht="15" customHeight="1">
      <c r="A102" s="72">
        <v>0.05</v>
      </c>
      <c r="B102" s="72" t="s">
        <v>36</v>
      </c>
      <c r="C102" s="72">
        <v>54.017197511676201</v>
      </c>
      <c r="D102" s="82">
        <v>18.533078379552101</v>
      </c>
      <c r="E102" s="72" t="s">
        <v>37</v>
      </c>
      <c r="F102" s="72" t="s">
        <v>38</v>
      </c>
      <c r="G102" s="72" t="s">
        <v>39</v>
      </c>
      <c r="H102" s="72" t="s">
        <v>29</v>
      </c>
      <c r="I102" s="72" t="s">
        <v>30</v>
      </c>
      <c r="J102" s="72" t="s">
        <v>40</v>
      </c>
      <c r="K102" s="72" t="s">
        <v>40</v>
      </c>
      <c r="L102" s="72">
        <v>13</v>
      </c>
      <c r="M102" s="72">
        <f>O102-N102</f>
        <v>29</v>
      </c>
      <c r="N102" s="72">
        <v>1993</v>
      </c>
      <c r="O102" s="72">
        <v>2022</v>
      </c>
      <c r="Q102" s="196" t="s">
        <v>41</v>
      </c>
      <c r="R102" s="72" t="s">
        <v>42</v>
      </c>
      <c r="S102" s="72" t="s">
        <v>43</v>
      </c>
      <c r="U102" s="197" t="s">
        <v>45</v>
      </c>
      <c r="X102" s="72" t="s">
        <v>35</v>
      </c>
      <c r="Z102" s="72" t="s">
        <v>44</v>
      </c>
    </row>
    <row r="103" spans="1:26" ht="15" customHeight="1">
      <c r="A103">
        <v>-2.8000000000000001E-2</v>
      </c>
      <c r="B103" t="s">
        <v>684</v>
      </c>
      <c r="C103">
        <v>31.675255626368699</v>
      </c>
      <c r="D103" s="9">
        <v>87.801174559325503</v>
      </c>
      <c r="E103" t="s">
        <v>37</v>
      </c>
      <c r="F103" t="s">
        <v>185</v>
      </c>
      <c r="G103" t="s">
        <v>62</v>
      </c>
      <c r="H103" t="s">
        <v>84</v>
      </c>
      <c r="I103" t="s">
        <v>30</v>
      </c>
      <c r="J103" t="s">
        <v>40</v>
      </c>
      <c r="K103" t="s">
        <v>40</v>
      </c>
      <c r="L103">
        <v>56</v>
      </c>
      <c r="M103">
        <v>14</v>
      </c>
      <c r="N103">
        <v>2001</v>
      </c>
      <c r="O103">
        <v>2015</v>
      </c>
      <c r="P103" t="s">
        <v>140</v>
      </c>
      <c r="Q103" s="4" t="s">
        <v>685</v>
      </c>
      <c r="R103" t="s">
        <v>686</v>
      </c>
      <c r="S103" t="s">
        <v>172</v>
      </c>
      <c r="T103" t="s">
        <v>687</v>
      </c>
      <c r="U103" s="2" t="s">
        <v>688</v>
      </c>
      <c r="X103" t="s">
        <v>59</v>
      </c>
      <c r="Y103" t="s">
        <v>219</v>
      </c>
    </row>
    <row r="104" spans="1:26" ht="15" customHeight="1">
      <c r="A104">
        <v>-5.7000000000000002E-3</v>
      </c>
      <c r="B104" t="s">
        <v>684</v>
      </c>
      <c r="C104">
        <v>31.675255626368699</v>
      </c>
      <c r="D104" s="9">
        <v>87.801174559325503</v>
      </c>
      <c r="E104" t="s">
        <v>37</v>
      </c>
      <c r="F104" t="s">
        <v>185</v>
      </c>
      <c r="G104" t="s">
        <v>62</v>
      </c>
      <c r="H104" t="s">
        <v>84</v>
      </c>
      <c r="I104" t="s">
        <v>30</v>
      </c>
      <c r="J104" t="s">
        <v>40</v>
      </c>
      <c r="K104" t="s">
        <v>155</v>
      </c>
      <c r="L104">
        <v>56</v>
      </c>
      <c r="M104">
        <v>14</v>
      </c>
      <c r="N104">
        <v>2001</v>
      </c>
      <c r="O104">
        <v>2015</v>
      </c>
      <c r="P104" t="s">
        <v>140</v>
      </c>
      <c r="Q104" s="4" t="s">
        <v>685</v>
      </c>
      <c r="R104" t="s">
        <v>686</v>
      </c>
      <c r="S104" t="s">
        <v>172</v>
      </c>
      <c r="T104" t="s">
        <v>687</v>
      </c>
      <c r="U104" s="2" t="s">
        <v>688</v>
      </c>
      <c r="X104" t="s">
        <v>59</v>
      </c>
      <c r="Y104" t="s">
        <v>219</v>
      </c>
    </row>
    <row r="105" spans="1:26" ht="15" customHeight="1">
      <c r="A105">
        <v>2.4E-2</v>
      </c>
      <c r="B105" t="s">
        <v>82</v>
      </c>
      <c r="C105" s="8">
        <v>34</v>
      </c>
      <c r="D105" s="9">
        <v>104</v>
      </c>
      <c r="E105" t="s">
        <v>37</v>
      </c>
      <c r="F105" t="s">
        <v>83</v>
      </c>
      <c r="G105" t="s">
        <v>62</v>
      </c>
      <c r="H105" t="s">
        <v>84</v>
      </c>
      <c r="I105" t="s">
        <v>30</v>
      </c>
      <c r="J105" t="s">
        <v>40</v>
      </c>
      <c r="K105" t="s">
        <v>40</v>
      </c>
      <c r="L105">
        <v>1451</v>
      </c>
      <c r="M105">
        <f>O105-N105</f>
        <v>20</v>
      </c>
      <c r="N105">
        <v>2001</v>
      </c>
      <c r="O105">
        <v>2021</v>
      </c>
      <c r="Q105" s="152" t="s">
        <v>85</v>
      </c>
      <c r="R105" t="s">
        <v>86</v>
      </c>
      <c r="S105" t="s">
        <v>87</v>
      </c>
      <c r="T105" t="s">
        <v>88</v>
      </c>
      <c r="U105" s="2" t="s">
        <v>89</v>
      </c>
      <c r="W105" t="s">
        <v>90</v>
      </c>
      <c r="X105" t="s">
        <v>59</v>
      </c>
      <c r="Y105" t="s">
        <v>219</v>
      </c>
    </row>
    <row r="106" spans="1:26" ht="15" customHeight="1">
      <c r="A106">
        <v>4.2999999999999997E-2</v>
      </c>
      <c r="B106" t="s">
        <v>91</v>
      </c>
      <c r="C106">
        <v>40.364283477628199</v>
      </c>
      <c r="D106" s="9">
        <v>21.908338151599299</v>
      </c>
      <c r="E106" t="s">
        <v>37</v>
      </c>
      <c r="F106" t="s">
        <v>92</v>
      </c>
      <c r="G106" t="s">
        <v>49</v>
      </c>
      <c r="H106" t="s">
        <v>93</v>
      </c>
      <c r="I106" t="s">
        <v>30</v>
      </c>
      <c r="J106" t="s">
        <v>94</v>
      </c>
      <c r="K106" t="s">
        <v>40</v>
      </c>
      <c r="L106">
        <v>18</v>
      </c>
      <c r="M106">
        <f>O106-N106</f>
        <v>39</v>
      </c>
      <c r="N106">
        <v>1981</v>
      </c>
      <c r="O106">
        <v>2020</v>
      </c>
      <c r="Q106" s="152" t="s">
        <v>95</v>
      </c>
      <c r="R106" t="s">
        <v>96</v>
      </c>
      <c r="S106" t="s">
        <v>97</v>
      </c>
      <c r="T106" t="s">
        <v>98</v>
      </c>
      <c r="U106" s="2" t="s">
        <v>99</v>
      </c>
      <c r="W106" t="s">
        <v>100</v>
      </c>
      <c r="X106" t="s">
        <v>59</v>
      </c>
      <c r="Y106" t="s">
        <v>645</v>
      </c>
    </row>
    <row r="107" spans="1:26" ht="15" customHeight="1">
      <c r="A107">
        <v>0.04</v>
      </c>
      <c r="B107" t="s">
        <v>60</v>
      </c>
      <c r="C107">
        <v>55.689302269141699</v>
      </c>
      <c r="D107" s="9">
        <v>14.8641169214791</v>
      </c>
      <c r="E107" t="s">
        <v>37</v>
      </c>
      <c r="F107" t="s">
        <v>319</v>
      </c>
      <c r="G107" t="s">
        <v>49</v>
      </c>
      <c r="H107" t="s">
        <v>313</v>
      </c>
      <c r="I107" t="s">
        <v>30</v>
      </c>
      <c r="J107" t="s">
        <v>135</v>
      </c>
      <c r="K107" t="s">
        <v>40</v>
      </c>
      <c r="L107">
        <v>51</v>
      </c>
      <c r="M107">
        <f>(O107-N107)</f>
        <v>38</v>
      </c>
      <c r="N107">
        <v>1981</v>
      </c>
      <c r="O107">
        <v>2019</v>
      </c>
      <c r="P107" t="s">
        <v>140</v>
      </c>
      <c r="Q107" s="14" t="s">
        <v>320</v>
      </c>
      <c r="R107" t="s">
        <v>321</v>
      </c>
      <c r="S107" t="s">
        <v>322</v>
      </c>
      <c r="U107" s="2" t="s">
        <v>323</v>
      </c>
      <c r="X107" t="s">
        <v>294</v>
      </c>
      <c r="Y107" s="8" t="s">
        <v>335</v>
      </c>
    </row>
    <row r="108" spans="1:26" ht="15" customHeight="1">
      <c r="A108">
        <v>4.5999999999999999E-2</v>
      </c>
      <c r="B108" t="s">
        <v>60</v>
      </c>
      <c r="C108">
        <v>55.689302269141699</v>
      </c>
      <c r="D108" s="9">
        <v>14.8641169214791</v>
      </c>
      <c r="E108" t="s">
        <v>37</v>
      </c>
      <c r="F108" t="s">
        <v>319</v>
      </c>
      <c r="G108" t="s">
        <v>49</v>
      </c>
      <c r="H108" t="s">
        <v>313</v>
      </c>
      <c r="I108" t="s">
        <v>30</v>
      </c>
      <c r="J108" t="s">
        <v>31</v>
      </c>
      <c r="K108" t="s">
        <v>31</v>
      </c>
      <c r="L108">
        <v>51</v>
      </c>
      <c r="M108">
        <f>(O108-N108)</f>
        <v>38</v>
      </c>
      <c r="N108">
        <v>1981</v>
      </c>
      <c r="O108">
        <v>2019</v>
      </c>
      <c r="P108" t="s">
        <v>140</v>
      </c>
      <c r="Q108" s="14" t="s">
        <v>320</v>
      </c>
      <c r="R108" t="s">
        <v>321</v>
      </c>
      <c r="S108" t="s">
        <v>322</v>
      </c>
      <c r="U108" s="2" t="s">
        <v>323</v>
      </c>
      <c r="X108" t="s">
        <v>294</v>
      </c>
      <c r="Y108" s="8" t="s">
        <v>335</v>
      </c>
    </row>
    <row r="109" spans="1:26" ht="15" customHeight="1">
      <c r="A109">
        <v>7.3999999999999996E-2</v>
      </c>
      <c r="B109" t="s">
        <v>245</v>
      </c>
      <c r="C109">
        <v>36</v>
      </c>
      <c r="D109">
        <v>99</v>
      </c>
      <c r="E109" t="s">
        <v>47</v>
      </c>
      <c r="F109" t="s">
        <v>213</v>
      </c>
      <c r="G109" t="s">
        <v>49</v>
      </c>
      <c r="H109" t="s">
        <v>84</v>
      </c>
      <c r="I109" t="s">
        <v>30</v>
      </c>
      <c r="J109" t="s">
        <v>40</v>
      </c>
      <c r="K109" t="s">
        <v>40</v>
      </c>
      <c r="L109">
        <v>1</v>
      </c>
      <c r="M109">
        <f>O109-N109</f>
        <v>33</v>
      </c>
      <c r="N109">
        <v>1979</v>
      </c>
      <c r="O109">
        <v>2012</v>
      </c>
      <c r="P109" t="s">
        <v>226</v>
      </c>
      <c r="Q109" s="152" t="s">
        <v>246</v>
      </c>
      <c r="R109" t="s">
        <v>247</v>
      </c>
      <c r="S109" t="s">
        <v>248</v>
      </c>
      <c r="T109" t="s">
        <v>249</v>
      </c>
      <c r="U109" s="2" t="s">
        <v>250</v>
      </c>
      <c r="W109" t="s">
        <v>251</v>
      </c>
      <c r="X109" t="s">
        <v>59</v>
      </c>
      <c r="Y109" t="s">
        <v>645</v>
      </c>
    </row>
    <row r="110" spans="1:26" ht="15" customHeight="1">
      <c r="A110" s="8">
        <v>2.4E-2</v>
      </c>
      <c r="B110" s="8" t="s">
        <v>82</v>
      </c>
      <c r="C110">
        <v>36</v>
      </c>
      <c r="D110">
        <v>104</v>
      </c>
      <c r="E110" s="8" t="s">
        <v>37</v>
      </c>
      <c r="F110" s="8" t="s">
        <v>372</v>
      </c>
      <c r="G110" t="s">
        <v>62</v>
      </c>
      <c r="H110" s="8" t="s">
        <v>373</v>
      </c>
      <c r="I110" s="8" t="s">
        <v>30</v>
      </c>
      <c r="J110" s="8" t="s">
        <v>40</v>
      </c>
      <c r="K110" s="8" t="s">
        <v>40</v>
      </c>
      <c r="L110" s="8">
        <v>6</v>
      </c>
      <c r="M110" s="8">
        <v>17</v>
      </c>
      <c r="N110" s="8">
        <v>2001</v>
      </c>
      <c r="O110" s="8">
        <v>2018</v>
      </c>
      <c r="P110" s="8" t="s">
        <v>226</v>
      </c>
      <c r="Q110" s="176" t="s">
        <v>374</v>
      </c>
      <c r="R110" s="8" t="s">
        <v>375</v>
      </c>
      <c r="S110" s="41" t="s">
        <v>376</v>
      </c>
      <c r="T110" s="8" t="s">
        <v>674</v>
      </c>
      <c r="U110" s="2" t="s">
        <v>377</v>
      </c>
      <c r="X110" t="s">
        <v>335</v>
      </c>
      <c r="Y110" t="s">
        <v>645</v>
      </c>
    </row>
    <row r="111" spans="1:26" ht="15" customHeight="1">
      <c r="A111" s="8">
        <v>0.03</v>
      </c>
      <c r="B111" s="8" t="s">
        <v>615</v>
      </c>
      <c r="C111" s="8">
        <v>-32</v>
      </c>
      <c r="D111" s="8">
        <v>-52</v>
      </c>
      <c r="E111" s="8" t="s">
        <v>37</v>
      </c>
      <c r="F111" s="8" t="s">
        <v>185</v>
      </c>
      <c r="G111" t="s">
        <v>62</v>
      </c>
      <c r="H111" s="8" t="s">
        <v>616</v>
      </c>
      <c r="I111" s="8" t="s">
        <v>30</v>
      </c>
      <c r="J111" s="8" t="s">
        <v>617</v>
      </c>
      <c r="K111" s="8" t="s">
        <v>40</v>
      </c>
      <c r="L111" s="8">
        <v>3</v>
      </c>
      <c r="M111" s="8">
        <v>20</v>
      </c>
      <c r="N111" s="8">
        <v>2002</v>
      </c>
      <c r="O111" s="8">
        <v>2022</v>
      </c>
      <c r="P111" s="8" t="s">
        <v>226</v>
      </c>
      <c r="Q111" s="9" t="s">
        <v>618</v>
      </c>
      <c r="R111" s="8" t="s">
        <v>619</v>
      </c>
      <c r="S111" s="8" t="s">
        <v>620</v>
      </c>
      <c r="T111" s="8"/>
      <c r="X111" t="s">
        <v>219</v>
      </c>
      <c r="Y111" t="s">
        <v>436</v>
      </c>
    </row>
    <row r="112" spans="1:26" ht="15" customHeight="1">
      <c r="A112" s="8">
        <v>0.05</v>
      </c>
      <c r="B112" s="8" t="s">
        <v>615</v>
      </c>
      <c r="C112" s="8">
        <v>-32</v>
      </c>
      <c r="D112" s="8">
        <v>-52</v>
      </c>
      <c r="E112" s="8" t="s">
        <v>37</v>
      </c>
      <c r="F112" s="8" t="s">
        <v>185</v>
      </c>
      <c r="G112" t="s">
        <v>62</v>
      </c>
      <c r="H112" s="8" t="s">
        <v>616</v>
      </c>
      <c r="I112" s="8" t="s">
        <v>30</v>
      </c>
      <c r="J112" s="8" t="s">
        <v>621</v>
      </c>
      <c r="K112" s="8" t="s">
        <v>81</v>
      </c>
      <c r="L112" s="8">
        <v>3</v>
      </c>
      <c r="M112" s="8">
        <v>20</v>
      </c>
      <c r="N112" s="8">
        <v>2002</v>
      </c>
      <c r="O112" s="8">
        <v>2022</v>
      </c>
      <c r="P112" s="8" t="s">
        <v>226</v>
      </c>
      <c r="Q112" s="9" t="s">
        <v>618</v>
      </c>
      <c r="R112" s="8" t="s">
        <v>619</v>
      </c>
      <c r="S112" s="8" t="s">
        <v>620</v>
      </c>
      <c r="T112" s="8"/>
      <c r="X112" t="s">
        <v>219</v>
      </c>
      <c r="Y112" t="s">
        <v>436</v>
      </c>
    </row>
    <row r="113" spans="1:31" ht="15" customHeight="1">
      <c r="A113" s="8">
        <v>0.03</v>
      </c>
      <c r="B113" s="8" t="s">
        <v>615</v>
      </c>
      <c r="C113" s="8">
        <v>-32</v>
      </c>
      <c r="D113" s="8">
        <v>-52</v>
      </c>
      <c r="E113" s="8" t="s">
        <v>37</v>
      </c>
      <c r="F113" s="8" t="s">
        <v>185</v>
      </c>
      <c r="G113" t="s">
        <v>62</v>
      </c>
      <c r="H113" s="8" t="s">
        <v>616</v>
      </c>
      <c r="I113" s="8" t="s">
        <v>30</v>
      </c>
      <c r="J113" s="8" t="s">
        <v>621</v>
      </c>
      <c r="K113" s="8" t="s">
        <v>31</v>
      </c>
      <c r="L113" s="8">
        <v>3</v>
      </c>
      <c r="M113" s="8">
        <v>20</v>
      </c>
      <c r="N113" s="8">
        <v>2002</v>
      </c>
      <c r="O113" s="8">
        <v>2022</v>
      </c>
      <c r="P113" s="8" t="s">
        <v>226</v>
      </c>
      <c r="Q113" s="9" t="s">
        <v>618</v>
      </c>
      <c r="R113" s="8" t="s">
        <v>619</v>
      </c>
      <c r="S113" s="8" t="s">
        <v>620</v>
      </c>
      <c r="T113" s="8"/>
      <c r="X113" t="s">
        <v>219</v>
      </c>
      <c r="Y113" t="s">
        <v>436</v>
      </c>
    </row>
    <row r="114" spans="1:31" ht="15" customHeight="1">
      <c r="A114">
        <v>2.4E-2</v>
      </c>
      <c r="B114" t="s">
        <v>26</v>
      </c>
      <c r="C114" s="8">
        <v>32</v>
      </c>
      <c r="D114" s="9">
        <v>-35</v>
      </c>
      <c r="E114" t="s">
        <v>26</v>
      </c>
      <c r="F114" t="s">
        <v>213</v>
      </c>
      <c r="G114" t="s">
        <v>49</v>
      </c>
      <c r="H114" t="s">
        <v>84</v>
      </c>
      <c r="I114" t="s">
        <v>30</v>
      </c>
      <c r="J114" s="8" t="s">
        <v>220</v>
      </c>
      <c r="K114" t="s">
        <v>40</v>
      </c>
      <c r="L114">
        <v>92245</v>
      </c>
      <c r="M114">
        <f>O114-N114</f>
        <v>39</v>
      </c>
      <c r="N114">
        <v>1981</v>
      </c>
      <c r="O114">
        <v>2020</v>
      </c>
      <c r="P114" t="s">
        <v>140</v>
      </c>
      <c r="Q114" s="14" t="s">
        <v>221</v>
      </c>
      <c r="R114" t="s">
        <v>222</v>
      </c>
      <c r="S114" t="s">
        <v>223</v>
      </c>
      <c r="U114" s="2" t="s">
        <v>224</v>
      </c>
      <c r="W114" t="s">
        <v>69</v>
      </c>
      <c r="X114" t="s">
        <v>59</v>
      </c>
      <c r="Y114" t="s">
        <v>219</v>
      </c>
    </row>
    <row r="115" spans="1:31" ht="15" customHeight="1">
      <c r="A115">
        <v>1.7999999999999999E-2</v>
      </c>
      <c r="B115" t="s">
        <v>312</v>
      </c>
      <c r="C115" s="8">
        <v>16</v>
      </c>
      <c r="D115" s="9">
        <v>103</v>
      </c>
      <c r="E115" t="s">
        <v>37</v>
      </c>
      <c r="F115" t="s">
        <v>62</v>
      </c>
      <c r="G115" t="s">
        <v>62</v>
      </c>
      <c r="H115" t="s">
        <v>313</v>
      </c>
      <c r="I115" t="s">
        <v>30</v>
      </c>
      <c r="J115" t="s">
        <v>148</v>
      </c>
      <c r="K115" t="s">
        <v>40</v>
      </c>
      <c r="L115">
        <v>80</v>
      </c>
      <c r="M115">
        <f>(O115-N115)</f>
        <v>34</v>
      </c>
      <c r="N115">
        <v>1986</v>
      </c>
      <c r="O115">
        <v>2020</v>
      </c>
      <c r="P115" t="s">
        <v>314</v>
      </c>
      <c r="Q115" s="14" t="s">
        <v>315</v>
      </c>
      <c r="R115" t="s">
        <v>316</v>
      </c>
      <c r="S115" t="s">
        <v>172</v>
      </c>
      <c r="U115" s="2" t="s">
        <v>317</v>
      </c>
      <c r="W115" t="s">
        <v>69</v>
      </c>
      <c r="X115" t="s">
        <v>294</v>
      </c>
      <c r="Y115" t="s">
        <v>219</v>
      </c>
    </row>
    <row r="116" spans="1:31" ht="15" customHeight="1">
      <c r="A116">
        <v>1.2999999999999999E-2</v>
      </c>
      <c r="B116" t="s">
        <v>312</v>
      </c>
      <c r="C116" s="8">
        <v>16</v>
      </c>
      <c r="D116" s="9">
        <v>103</v>
      </c>
      <c r="E116" t="s">
        <v>37</v>
      </c>
      <c r="F116" t="s">
        <v>62</v>
      </c>
      <c r="G116" t="s">
        <v>62</v>
      </c>
      <c r="H116" t="s">
        <v>313</v>
      </c>
      <c r="I116" t="s">
        <v>30</v>
      </c>
      <c r="J116" t="s">
        <v>155</v>
      </c>
      <c r="K116" t="s">
        <v>155</v>
      </c>
      <c r="L116">
        <v>80</v>
      </c>
      <c r="M116">
        <f>(O116-N116)</f>
        <v>34</v>
      </c>
      <c r="N116">
        <v>1986</v>
      </c>
      <c r="O116">
        <v>2020</v>
      </c>
      <c r="P116" t="s">
        <v>226</v>
      </c>
      <c r="Q116" s="14" t="s">
        <v>315</v>
      </c>
      <c r="R116" t="s">
        <v>316</v>
      </c>
      <c r="S116" t="s">
        <v>318</v>
      </c>
      <c r="U116" s="2" t="s">
        <v>317</v>
      </c>
      <c r="W116" t="s">
        <v>69</v>
      </c>
      <c r="X116" t="s">
        <v>294</v>
      </c>
      <c r="Y116" t="s">
        <v>219</v>
      </c>
    </row>
    <row r="117" spans="1:31" ht="15" customHeight="1">
      <c r="A117" s="8">
        <v>0.01</v>
      </c>
      <c r="B117" s="8" t="s">
        <v>378</v>
      </c>
      <c r="C117" s="8">
        <v>40.04</v>
      </c>
      <c r="D117" s="8">
        <v>9</v>
      </c>
      <c r="E117" s="8" t="s">
        <v>37</v>
      </c>
      <c r="F117" s="8" t="s">
        <v>379</v>
      </c>
      <c r="G117" t="s">
        <v>62</v>
      </c>
      <c r="H117" s="8" t="s">
        <v>380</v>
      </c>
      <c r="I117" s="8" t="s">
        <v>30</v>
      </c>
      <c r="J117" s="8" t="s">
        <v>40</v>
      </c>
      <c r="K117" s="8" t="s">
        <v>40</v>
      </c>
      <c r="L117" s="8">
        <v>24</v>
      </c>
      <c r="M117" s="8">
        <v>18</v>
      </c>
      <c r="N117" s="8">
        <v>2000</v>
      </c>
      <c r="O117" s="8">
        <v>2018</v>
      </c>
      <c r="P117" s="8" t="s">
        <v>226</v>
      </c>
      <c r="Q117" s="8" t="s">
        <v>381</v>
      </c>
      <c r="R117" s="8" t="s">
        <v>382</v>
      </c>
      <c r="S117" s="41" t="s">
        <v>322</v>
      </c>
      <c r="T117" s="8" t="s">
        <v>383</v>
      </c>
      <c r="U117" s="8" t="s">
        <v>384</v>
      </c>
      <c r="X117" t="s">
        <v>335</v>
      </c>
      <c r="Y117" t="s">
        <v>219</v>
      </c>
    </row>
    <row r="118" spans="1:31" ht="15" customHeight="1">
      <c r="A118">
        <v>-3.7999999999999999E-2</v>
      </c>
      <c r="B118" s="8" t="s">
        <v>378</v>
      </c>
      <c r="C118" s="8">
        <v>40.04</v>
      </c>
      <c r="D118" s="8">
        <v>9</v>
      </c>
      <c r="E118" s="8" t="s">
        <v>37</v>
      </c>
      <c r="F118" s="8" t="s">
        <v>379</v>
      </c>
      <c r="G118" t="s">
        <v>62</v>
      </c>
      <c r="H118" s="8" t="s">
        <v>380</v>
      </c>
      <c r="I118" s="8" t="s">
        <v>30</v>
      </c>
      <c r="J118" s="8" t="s">
        <v>129</v>
      </c>
      <c r="K118" t="s">
        <v>385</v>
      </c>
      <c r="L118" s="8">
        <v>24</v>
      </c>
      <c r="M118" s="8">
        <v>18</v>
      </c>
      <c r="N118" s="8">
        <v>2000</v>
      </c>
      <c r="O118" s="8">
        <v>2018</v>
      </c>
      <c r="P118" s="8" t="s">
        <v>226</v>
      </c>
      <c r="Q118" s="8" t="s">
        <v>381</v>
      </c>
      <c r="R118" s="8" t="s">
        <v>382</v>
      </c>
      <c r="S118" s="41" t="s">
        <v>322</v>
      </c>
      <c r="T118" s="8" t="s">
        <v>383</v>
      </c>
      <c r="U118" s="8" t="s">
        <v>384</v>
      </c>
      <c r="X118" t="s">
        <v>335</v>
      </c>
      <c r="Y118" t="s">
        <v>219</v>
      </c>
    </row>
    <row r="119" spans="1:31" ht="15" customHeight="1">
      <c r="A119">
        <v>1.2999999999999999E-2</v>
      </c>
      <c r="B119" s="8" t="s">
        <v>378</v>
      </c>
      <c r="C119" s="8">
        <v>40.04</v>
      </c>
      <c r="D119" s="8">
        <v>9</v>
      </c>
      <c r="E119" s="8" t="s">
        <v>37</v>
      </c>
      <c r="F119" s="8" t="s">
        <v>379</v>
      </c>
      <c r="G119" t="s">
        <v>62</v>
      </c>
      <c r="H119" s="8" t="s">
        <v>380</v>
      </c>
      <c r="I119" s="8" t="s">
        <v>30</v>
      </c>
      <c r="J119" s="8" t="s">
        <v>129</v>
      </c>
      <c r="K119" t="s">
        <v>386</v>
      </c>
      <c r="L119" s="8">
        <v>24</v>
      </c>
      <c r="M119" s="8">
        <v>18</v>
      </c>
      <c r="N119" s="8">
        <v>2000</v>
      </c>
      <c r="O119" s="8">
        <v>2018</v>
      </c>
      <c r="P119" s="8" t="s">
        <v>226</v>
      </c>
      <c r="Q119" s="8" t="s">
        <v>381</v>
      </c>
      <c r="R119" s="8" t="s">
        <v>382</v>
      </c>
      <c r="S119" s="41" t="s">
        <v>322</v>
      </c>
      <c r="T119" s="8" t="s">
        <v>383</v>
      </c>
      <c r="U119" s="8" t="s">
        <v>384</v>
      </c>
      <c r="X119" t="s">
        <v>335</v>
      </c>
      <c r="Y119" t="s">
        <v>219</v>
      </c>
    </row>
    <row r="120" spans="1:31" ht="15" customHeight="1">
      <c r="A120" s="178">
        <v>3.6999999999999998E-2</v>
      </c>
      <c r="B120" t="s">
        <v>70</v>
      </c>
      <c r="C120">
        <v>31.675255626368699</v>
      </c>
      <c r="D120" s="9">
        <v>87.801174559325503</v>
      </c>
      <c r="E120" t="s">
        <v>37</v>
      </c>
      <c r="F120" t="s">
        <v>653</v>
      </c>
      <c r="G120" t="s">
        <v>62</v>
      </c>
      <c r="H120" s="10" t="s">
        <v>84</v>
      </c>
      <c r="I120" t="s">
        <v>30</v>
      </c>
      <c r="J120" t="s">
        <v>690</v>
      </c>
      <c r="K120" t="s">
        <v>155</v>
      </c>
      <c r="L120">
        <v>374</v>
      </c>
      <c r="M120">
        <f t="shared" ref="M120:M126" si="5">O120-N120</f>
        <v>14</v>
      </c>
      <c r="N120">
        <v>2001</v>
      </c>
      <c r="O120">
        <v>2015</v>
      </c>
      <c r="P120" s="124" t="s">
        <v>140</v>
      </c>
      <c r="Q120" s="175" t="s">
        <v>654</v>
      </c>
      <c r="R120" t="s">
        <v>655</v>
      </c>
      <c r="S120" s="175" t="s">
        <v>656</v>
      </c>
      <c r="U120" s="2" t="s">
        <v>657</v>
      </c>
      <c r="X120" t="s">
        <v>645</v>
      </c>
      <c r="Y120" t="s">
        <v>219</v>
      </c>
    </row>
    <row r="121" spans="1:31" ht="15" customHeight="1">
      <c r="A121" s="180" t="s">
        <v>658</v>
      </c>
      <c r="B121" t="s">
        <v>70</v>
      </c>
      <c r="C121">
        <v>31.675255626368699</v>
      </c>
      <c r="D121" s="9">
        <v>87.801174559325503</v>
      </c>
      <c r="E121" t="s">
        <v>37</v>
      </c>
      <c r="F121" t="s">
        <v>653</v>
      </c>
      <c r="G121" t="s">
        <v>62</v>
      </c>
      <c r="H121" s="10" t="s">
        <v>84</v>
      </c>
      <c r="I121" t="s">
        <v>30</v>
      </c>
      <c r="J121" s="10" t="s">
        <v>659</v>
      </c>
      <c r="K121" t="s">
        <v>40</v>
      </c>
      <c r="L121">
        <v>374</v>
      </c>
      <c r="M121">
        <f t="shared" si="5"/>
        <v>14</v>
      </c>
      <c r="N121">
        <v>2001</v>
      </c>
      <c r="O121">
        <v>2015</v>
      </c>
      <c r="P121" s="124" t="s">
        <v>140</v>
      </c>
      <c r="Q121" s="175" t="s">
        <v>654</v>
      </c>
      <c r="R121" t="s">
        <v>655</v>
      </c>
      <c r="S121" s="175" t="s">
        <v>656</v>
      </c>
      <c r="U121" s="2" t="s">
        <v>657</v>
      </c>
      <c r="X121" t="s">
        <v>645</v>
      </c>
      <c r="Y121" t="s">
        <v>219</v>
      </c>
    </row>
    <row r="122" spans="1:31" ht="15" customHeight="1">
      <c r="A122">
        <v>3.6999999999999998E-2</v>
      </c>
      <c r="B122" s="8" t="s">
        <v>70</v>
      </c>
      <c r="C122" s="8">
        <v>32</v>
      </c>
      <c r="D122" s="9">
        <v>88</v>
      </c>
      <c r="E122" t="s">
        <v>37</v>
      </c>
      <c r="F122" t="s">
        <v>71</v>
      </c>
      <c r="G122" t="s">
        <v>62</v>
      </c>
      <c r="H122" t="s">
        <v>72</v>
      </c>
      <c r="I122" t="s">
        <v>30</v>
      </c>
      <c r="J122" t="s">
        <v>73</v>
      </c>
      <c r="K122" t="s">
        <v>73</v>
      </c>
      <c r="L122">
        <v>374</v>
      </c>
      <c r="M122">
        <f t="shared" si="5"/>
        <v>14</v>
      </c>
      <c r="N122">
        <v>2001</v>
      </c>
      <c r="O122">
        <v>2015</v>
      </c>
      <c r="Q122" s="8" t="s">
        <v>74</v>
      </c>
      <c r="R122" t="s">
        <v>75</v>
      </c>
      <c r="S122" t="s">
        <v>76</v>
      </c>
      <c r="T122" s="8" t="s">
        <v>77</v>
      </c>
      <c r="U122" s="2" t="s">
        <v>78</v>
      </c>
      <c r="W122" t="s">
        <v>79</v>
      </c>
      <c r="X122" t="s">
        <v>59</v>
      </c>
      <c r="Y122" t="s">
        <v>2389</v>
      </c>
    </row>
    <row r="123" spans="1:31" ht="15" customHeight="1">
      <c r="A123">
        <v>7.1999999999999995E-2</v>
      </c>
      <c r="B123" s="8" t="s">
        <v>70</v>
      </c>
      <c r="C123" s="8">
        <v>32</v>
      </c>
      <c r="D123" s="9">
        <v>88</v>
      </c>
      <c r="E123" t="s">
        <v>37</v>
      </c>
      <c r="F123" t="s">
        <v>71</v>
      </c>
      <c r="G123" t="s">
        <v>62</v>
      </c>
      <c r="H123" t="s">
        <v>72</v>
      </c>
      <c r="I123" t="s">
        <v>30</v>
      </c>
      <c r="J123" t="s">
        <v>80</v>
      </c>
      <c r="K123" t="s">
        <v>80</v>
      </c>
      <c r="L123">
        <v>374</v>
      </c>
      <c r="M123">
        <f t="shared" si="5"/>
        <v>14</v>
      </c>
      <c r="N123">
        <v>2001</v>
      </c>
      <c r="O123">
        <v>2015</v>
      </c>
      <c r="Q123" s="8" t="s">
        <v>74</v>
      </c>
      <c r="R123" t="s">
        <v>75</v>
      </c>
      <c r="S123" t="s">
        <v>76</v>
      </c>
      <c r="T123" s="8" t="s">
        <v>77</v>
      </c>
      <c r="U123" s="2" t="s">
        <v>78</v>
      </c>
      <c r="W123" t="s">
        <v>79</v>
      </c>
      <c r="X123" t="s">
        <v>59</v>
      </c>
      <c r="Y123" t="s">
        <v>2389</v>
      </c>
    </row>
    <row r="124" spans="1:31" ht="15" customHeight="1">
      <c r="A124">
        <v>2.3E-2</v>
      </c>
      <c r="B124" s="8" t="s">
        <v>70</v>
      </c>
      <c r="C124" s="8">
        <v>32</v>
      </c>
      <c r="D124" s="9">
        <v>88</v>
      </c>
      <c r="E124" t="s">
        <v>37</v>
      </c>
      <c r="F124" t="s">
        <v>71</v>
      </c>
      <c r="G124" t="s">
        <v>62</v>
      </c>
      <c r="H124" t="s">
        <v>72</v>
      </c>
      <c r="I124" t="s">
        <v>30</v>
      </c>
      <c r="J124" t="s">
        <v>31</v>
      </c>
      <c r="K124" t="s">
        <v>31</v>
      </c>
      <c r="L124">
        <v>374</v>
      </c>
      <c r="M124">
        <f t="shared" si="5"/>
        <v>14</v>
      </c>
      <c r="N124">
        <v>2001</v>
      </c>
      <c r="O124">
        <v>2015</v>
      </c>
      <c r="Q124" s="8" t="s">
        <v>74</v>
      </c>
      <c r="R124" t="s">
        <v>75</v>
      </c>
      <c r="S124" t="s">
        <v>76</v>
      </c>
      <c r="T124" s="8" t="s">
        <v>77</v>
      </c>
      <c r="U124" s="2" t="s">
        <v>78</v>
      </c>
      <c r="W124" t="s">
        <v>79</v>
      </c>
      <c r="X124" t="s">
        <v>59</v>
      </c>
      <c r="Y124" t="s">
        <v>2389</v>
      </c>
    </row>
    <row r="125" spans="1:31" ht="15" customHeight="1">
      <c r="A125">
        <v>1.9E-2</v>
      </c>
      <c r="B125" s="8" t="s">
        <v>70</v>
      </c>
      <c r="C125" s="8">
        <v>32</v>
      </c>
      <c r="D125" s="9">
        <v>88</v>
      </c>
      <c r="E125" t="s">
        <v>37</v>
      </c>
      <c r="F125" t="s">
        <v>71</v>
      </c>
      <c r="G125" t="s">
        <v>62</v>
      </c>
      <c r="H125" t="s">
        <v>72</v>
      </c>
      <c r="I125" t="s">
        <v>30</v>
      </c>
      <c r="J125" t="s">
        <v>81</v>
      </c>
      <c r="K125" t="s">
        <v>81</v>
      </c>
      <c r="L125">
        <v>374</v>
      </c>
      <c r="M125">
        <f t="shared" si="5"/>
        <v>14</v>
      </c>
      <c r="N125">
        <v>2001</v>
      </c>
      <c r="O125">
        <v>2015</v>
      </c>
      <c r="Q125" s="8" t="s">
        <v>74</v>
      </c>
      <c r="R125" t="s">
        <v>75</v>
      </c>
      <c r="S125" t="s">
        <v>76</v>
      </c>
      <c r="T125" s="8" t="s">
        <v>77</v>
      </c>
      <c r="U125" s="2" t="s">
        <v>78</v>
      </c>
      <c r="W125" t="s">
        <v>79</v>
      </c>
      <c r="X125" t="s">
        <v>59</v>
      </c>
      <c r="Y125" t="s">
        <v>2389</v>
      </c>
    </row>
    <row r="126" spans="1:31" ht="15" customHeight="1">
      <c r="A126">
        <v>3.6999999999999998E-2</v>
      </c>
      <c r="B126" s="8" t="s">
        <v>70</v>
      </c>
      <c r="C126" s="8">
        <v>32</v>
      </c>
      <c r="D126" s="9">
        <v>88</v>
      </c>
      <c r="E126" t="s">
        <v>37</v>
      </c>
      <c r="F126" t="s">
        <v>71</v>
      </c>
      <c r="G126" t="s">
        <v>62</v>
      </c>
      <c r="H126" t="s">
        <v>72</v>
      </c>
      <c r="I126" t="s">
        <v>30</v>
      </c>
      <c r="J126" t="s">
        <v>40</v>
      </c>
      <c r="K126" t="s">
        <v>40</v>
      </c>
      <c r="L126">
        <v>374</v>
      </c>
      <c r="M126">
        <f t="shared" si="5"/>
        <v>14</v>
      </c>
      <c r="N126">
        <v>2001</v>
      </c>
      <c r="O126">
        <v>2015</v>
      </c>
      <c r="Q126" s="8" t="s">
        <v>74</v>
      </c>
      <c r="R126" t="s">
        <v>75</v>
      </c>
      <c r="S126" t="s">
        <v>76</v>
      </c>
      <c r="T126" s="8" t="s">
        <v>77</v>
      </c>
      <c r="U126" s="2" t="s">
        <v>78</v>
      </c>
      <c r="W126" t="s">
        <v>79</v>
      </c>
      <c r="X126" t="s">
        <v>59</v>
      </c>
      <c r="Y126" t="s">
        <v>2389</v>
      </c>
    </row>
    <row r="127" spans="1:31" ht="15" customHeight="1">
      <c r="A127">
        <v>4.3999999999999997E-2</v>
      </c>
      <c r="B127" t="s">
        <v>120</v>
      </c>
      <c r="C127" s="8">
        <v>54</v>
      </c>
      <c r="D127" s="9">
        <v>19</v>
      </c>
      <c r="E127" t="s">
        <v>37</v>
      </c>
      <c r="F127" t="s">
        <v>121</v>
      </c>
      <c r="G127" t="s">
        <v>103</v>
      </c>
      <c r="H127" t="s">
        <v>122</v>
      </c>
      <c r="I127" t="s">
        <v>30</v>
      </c>
      <c r="J127" t="s">
        <v>40</v>
      </c>
      <c r="K127" t="s">
        <v>40</v>
      </c>
      <c r="L127">
        <v>25</v>
      </c>
      <c r="M127">
        <f t="shared" ref="M127:M133" si="6">O127-N127</f>
        <v>29</v>
      </c>
      <c r="N127">
        <v>1987</v>
      </c>
      <c r="O127">
        <v>2016</v>
      </c>
      <c r="Q127" s="166" t="s">
        <v>123</v>
      </c>
      <c r="R127" t="s">
        <v>124</v>
      </c>
      <c r="S127" t="s">
        <v>125</v>
      </c>
      <c r="T127" t="s">
        <v>126</v>
      </c>
      <c r="U127" s="177" t="s">
        <v>127</v>
      </c>
      <c r="W127" t="s">
        <v>128</v>
      </c>
      <c r="X127" t="s">
        <v>59</v>
      </c>
      <c r="Y127" t="s">
        <v>219</v>
      </c>
      <c r="Z127" s="181"/>
      <c r="AA127" s="181"/>
      <c r="AB127" s="181"/>
      <c r="AC127" s="181"/>
      <c r="AD127" s="181"/>
      <c r="AE127" s="181"/>
    </row>
    <row r="128" spans="1:31" ht="15" customHeight="1">
      <c r="A128">
        <v>5.3999999999999999E-2</v>
      </c>
      <c r="B128" t="s">
        <v>120</v>
      </c>
      <c r="C128" s="8">
        <v>54</v>
      </c>
      <c r="D128" s="9">
        <v>19</v>
      </c>
      <c r="E128" t="s">
        <v>37</v>
      </c>
      <c r="F128" t="s">
        <v>121</v>
      </c>
      <c r="G128" t="s">
        <v>103</v>
      </c>
      <c r="H128" t="s">
        <v>122</v>
      </c>
      <c r="I128" t="s">
        <v>30</v>
      </c>
      <c r="J128" t="s">
        <v>129</v>
      </c>
      <c r="K128" t="s">
        <v>81</v>
      </c>
      <c r="L128" s="8">
        <v>25</v>
      </c>
      <c r="M128">
        <f t="shared" si="6"/>
        <v>29</v>
      </c>
      <c r="N128">
        <v>1987</v>
      </c>
      <c r="O128">
        <v>2016</v>
      </c>
      <c r="Q128" s="166" t="s">
        <v>123</v>
      </c>
      <c r="R128" t="s">
        <v>124</v>
      </c>
      <c r="S128" t="s">
        <v>125</v>
      </c>
      <c r="T128" t="s">
        <v>126</v>
      </c>
      <c r="U128" s="177" t="s">
        <v>130</v>
      </c>
      <c r="W128" t="s">
        <v>128</v>
      </c>
      <c r="X128" t="s">
        <v>59</v>
      </c>
      <c r="Y128" t="s">
        <v>219</v>
      </c>
      <c r="Z128" s="181"/>
      <c r="AA128" s="181"/>
      <c r="AB128" s="181"/>
      <c r="AC128" s="181"/>
      <c r="AD128" s="181"/>
      <c r="AE128" s="181"/>
    </row>
    <row r="129" spans="1:31" ht="15" customHeight="1">
      <c r="A129">
        <v>5.6000000000000001E-2</v>
      </c>
      <c r="B129" t="s">
        <v>120</v>
      </c>
      <c r="C129" s="8">
        <v>54</v>
      </c>
      <c r="D129" s="9">
        <v>19</v>
      </c>
      <c r="E129" t="s">
        <v>37</v>
      </c>
      <c r="F129" t="s">
        <v>121</v>
      </c>
      <c r="G129" t="s">
        <v>103</v>
      </c>
      <c r="H129" t="s">
        <v>122</v>
      </c>
      <c r="I129" t="s">
        <v>30</v>
      </c>
      <c r="J129" t="s">
        <v>129</v>
      </c>
      <c r="K129" t="s">
        <v>31</v>
      </c>
      <c r="L129" s="8">
        <v>25</v>
      </c>
      <c r="M129">
        <f t="shared" si="6"/>
        <v>29</v>
      </c>
      <c r="N129">
        <v>1987</v>
      </c>
      <c r="O129">
        <v>2016</v>
      </c>
      <c r="Q129" s="166" t="s">
        <v>123</v>
      </c>
      <c r="R129" t="s">
        <v>124</v>
      </c>
      <c r="S129" t="s">
        <v>125</v>
      </c>
      <c r="T129" t="s">
        <v>126</v>
      </c>
      <c r="U129" s="177" t="s">
        <v>131</v>
      </c>
      <c r="W129" t="s">
        <v>128</v>
      </c>
      <c r="X129" t="s">
        <v>59</v>
      </c>
      <c r="Y129" t="s">
        <v>219</v>
      </c>
      <c r="Z129" s="181"/>
      <c r="AA129" s="181"/>
      <c r="AB129" s="181"/>
      <c r="AC129" s="181"/>
      <c r="AD129" s="181"/>
      <c r="AE129" s="181"/>
    </row>
    <row r="130" spans="1:31" ht="15" customHeight="1">
      <c r="A130">
        <v>5.2999999999999999E-2</v>
      </c>
      <c r="B130" t="s">
        <v>120</v>
      </c>
      <c r="C130" s="8">
        <v>54</v>
      </c>
      <c r="D130" s="9">
        <v>19</v>
      </c>
      <c r="E130" t="s">
        <v>37</v>
      </c>
      <c r="F130" t="s">
        <v>121</v>
      </c>
      <c r="G130" t="s">
        <v>103</v>
      </c>
      <c r="H130" t="s">
        <v>122</v>
      </c>
      <c r="I130" t="s">
        <v>30</v>
      </c>
      <c r="J130" t="s">
        <v>129</v>
      </c>
      <c r="K130" t="s">
        <v>80</v>
      </c>
      <c r="L130" s="8">
        <v>25</v>
      </c>
      <c r="M130">
        <f t="shared" si="6"/>
        <v>29</v>
      </c>
      <c r="N130">
        <v>1987</v>
      </c>
      <c r="O130">
        <v>2016</v>
      </c>
      <c r="Q130" s="166" t="s">
        <v>123</v>
      </c>
      <c r="R130" t="s">
        <v>124</v>
      </c>
      <c r="S130" t="s">
        <v>125</v>
      </c>
      <c r="T130" t="s">
        <v>126</v>
      </c>
      <c r="U130" s="177" t="s">
        <v>132</v>
      </c>
      <c r="W130" t="s">
        <v>128</v>
      </c>
      <c r="X130" t="s">
        <v>59</v>
      </c>
      <c r="Y130" t="s">
        <v>219</v>
      </c>
      <c r="Z130" s="181"/>
      <c r="AA130" s="181"/>
      <c r="AB130" s="181"/>
      <c r="AC130" s="181"/>
      <c r="AD130" s="181"/>
      <c r="AE130" s="181"/>
    </row>
    <row r="131" spans="1:31" ht="15" customHeight="1">
      <c r="A131">
        <v>1.7000000000000001E-2</v>
      </c>
      <c r="B131" t="s">
        <v>120</v>
      </c>
      <c r="C131" s="8">
        <v>54</v>
      </c>
      <c r="D131" s="9">
        <v>19</v>
      </c>
      <c r="E131" t="s">
        <v>37</v>
      </c>
      <c r="F131" t="s">
        <v>121</v>
      </c>
      <c r="G131" t="s">
        <v>103</v>
      </c>
      <c r="H131" t="s">
        <v>122</v>
      </c>
      <c r="I131" t="s">
        <v>30</v>
      </c>
      <c r="J131" t="s">
        <v>129</v>
      </c>
      <c r="K131" t="s">
        <v>73</v>
      </c>
      <c r="L131" s="8">
        <v>25</v>
      </c>
      <c r="M131">
        <f t="shared" si="6"/>
        <v>29</v>
      </c>
      <c r="N131">
        <v>1987</v>
      </c>
      <c r="O131">
        <v>2016</v>
      </c>
      <c r="Q131" s="166" t="s">
        <v>123</v>
      </c>
      <c r="R131" t="s">
        <v>124</v>
      </c>
      <c r="S131" t="s">
        <v>125</v>
      </c>
      <c r="T131" t="s">
        <v>126</v>
      </c>
      <c r="U131" s="177" t="s">
        <v>133</v>
      </c>
      <c r="W131" t="s">
        <v>128</v>
      </c>
      <c r="X131" t="s">
        <v>59</v>
      </c>
      <c r="Y131" t="s">
        <v>219</v>
      </c>
    </row>
    <row r="132" spans="1:31" ht="15" customHeight="1">
      <c r="A132">
        <v>6.5000000000000002E-2</v>
      </c>
      <c r="B132" t="s">
        <v>120</v>
      </c>
      <c r="C132" s="8">
        <v>54</v>
      </c>
      <c r="D132" s="9">
        <v>19</v>
      </c>
      <c r="E132" t="s">
        <v>37</v>
      </c>
      <c r="F132" t="s">
        <v>121</v>
      </c>
      <c r="G132" t="s">
        <v>103</v>
      </c>
      <c r="H132" t="s">
        <v>122</v>
      </c>
      <c r="I132" t="s">
        <v>134</v>
      </c>
      <c r="J132" t="s">
        <v>135</v>
      </c>
      <c r="K132" t="s">
        <v>40</v>
      </c>
      <c r="L132" s="8">
        <v>25</v>
      </c>
      <c r="M132">
        <f t="shared" si="6"/>
        <v>29</v>
      </c>
      <c r="N132">
        <v>1987</v>
      </c>
      <c r="O132">
        <v>2016</v>
      </c>
      <c r="Q132" s="166" t="s">
        <v>123</v>
      </c>
      <c r="R132" t="s">
        <v>124</v>
      </c>
      <c r="S132" t="s">
        <v>125</v>
      </c>
      <c r="T132" t="s">
        <v>126</v>
      </c>
      <c r="U132" s="177" t="s">
        <v>136</v>
      </c>
      <c r="W132" t="s">
        <v>128</v>
      </c>
      <c r="X132" t="s">
        <v>59</v>
      </c>
      <c r="Y132" t="s">
        <v>219</v>
      </c>
    </row>
    <row r="133" spans="1:31" ht="15" customHeight="1">
      <c r="A133">
        <v>-3.2000000000000003E-4</v>
      </c>
      <c r="B133" t="s">
        <v>120</v>
      </c>
      <c r="C133" s="8">
        <v>54</v>
      </c>
      <c r="D133" s="9">
        <v>19</v>
      </c>
      <c r="E133" t="s">
        <v>37</v>
      </c>
      <c r="F133" t="s">
        <v>121</v>
      </c>
      <c r="G133" t="s">
        <v>103</v>
      </c>
      <c r="H133" t="s">
        <v>122</v>
      </c>
      <c r="I133" t="s">
        <v>137</v>
      </c>
      <c r="J133" t="s">
        <v>40</v>
      </c>
      <c r="K133" t="s">
        <v>40</v>
      </c>
      <c r="L133" s="8">
        <v>25</v>
      </c>
      <c r="M133">
        <f t="shared" si="6"/>
        <v>29</v>
      </c>
      <c r="N133">
        <v>1987</v>
      </c>
      <c r="O133">
        <v>2016</v>
      </c>
      <c r="Q133" s="166" t="s">
        <v>123</v>
      </c>
      <c r="R133" t="s">
        <v>124</v>
      </c>
      <c r="S133" t="s">
        <v>125</v>
      </c>
      <c r="T133" t="s">
        <v>126</v>
      </c>
      <c r="U133" s="177" t="s">
        <v>138</v>
      </c>
      <c r="W133" t="s">
        <v>128</v>
      </c>
      <c r="X133" t="s">
        <v>59</v>
      </c>
      <c r="Y133" t="s">
        <v>219</v>
      </c>
    </row>
    <row r="134" spans="1:31" ht="15" customHeight="1">
      <c r="A134" s="8">
        <v>1.6E-2</v>
      </c>
      <c r="B134" s="124" t="s">
        <v>82</v>
      </c>
      <c r="C134" s="8">
        <v>36</v>
      </c>
      <c r="D134" s="8">
        <v>104</v>
      </c>
      <c r="E134" s="8" t="s">
        <v>37</v>
      </c>
      <c r="F134" s="8" t="s">
        <v>410</v>
      </c>
      <c r="G134" s="8" t="s">
        <v>49</v>
      </c>
      <c r="H134" s="8" t="s">
        <v>600</v>
      </c>
      <c r="I134" t="s">
        <v>169</v>
      </c>
      <c r="J134" t="s">
        <v>601</v>
      </c>
      <c r="K134" t="s">
        <v>40</v>
      </c>
      <c r="L134" s="8">
        <v>2260</v>
      </c>
      <c r="M134" s="8">
        <v>37</v>
      </c>
      <c r="N134" s="8">
        <v>1985</v>
      </c>
      <c r="O134" s="8">
        <v>2022</v>
      </c>
      <c r="P134" s="8" t="s">
        <v>226</v>
      </c>
      <c r="Q134" s="9" t="s">
        <v>602</v>
      </c>
      <c r="R134" s="8" t="s">
        <v>500</v>
      </c>
      <c r="S134" s="8" t="s">
        <v>339</v>
      </c>
      <c r="T134" s="8"/>
      <c r="W134" t="s">
        <v>603</v>
      </c>
      <c r="X134" t="s">
        <v>219</v>
      </c>
      <c r="Y134" t="s">
        <v>59</v>
      </c>
    </row>
    <row r="135" spans="1:31" ht="15" customHeight="1">
      <c r="A135" s="23">
        <v>1.2999999999999999E-2</v>
      </c>
      <c r="B135" t="s">
        <v>26</v>
      </c>
      <c r="C135" s="8">
        <v>0</v>
      </c>
      <c r="D135" s="8">
        <v>-108.8</v>
      </c>
      <c r="E135" t="s">
        <v>26</v>
      </c>
      <c r="F135" s="23" t="s">
        <v>496</v>
      </c>
      <c r="G135" t="s">
        <v>49</v>
      </c>
      <c r="H135" s="124" t="s">
        <v>497</v>
      </c>
      <c r="I135" s="23" t="s">
        <v>30</v>
      </c>
      <c r="J135" s="124" t="s">
        <v>498</v>
      </c>
      <c r="K135" t="s">
        <v>40</v>
      </c>
      <c r="L135" s="23">
        <v>1260</v>
      </c>
      <c r="M135" s="23">
        <f>O135-N135</f>
        <v>43</v>
      </c>
      <c r="N135" s="23">
        <v>1979</v>
      </c>
      <c r="O135" s="23">
        <v>2022</v>
      </c>
      <c r="P135" s="23" t="s">
        <v>226</v>
      </c>
      <c r="Q135" s="5" t="s">
        <v>499</v>
      </c>
      <c r="R135" s="23" t="s">
        <v>500</v>
      </c>
      <c r="S135" s="23" t="s">
        <v>501</v>
      </c>
      <c r="T135" s="23"/>
      <c r="U135" s="23" t="s">
        <v>502</v>
      </c>
      <c r="V135" s="23"/>
      <c r="W135" s="23" t="s">
        <v>503</v>
      </c>
      <c r="X135" s="23" t="s">
        <v>436</v>
      </c>
      <c r="Y135" t="s">
        <v>219</v>
      </c>
    </row>
    <row r="136" spans="1:31" ht="15" customHeight="1">
      <c r="A136" s="23">
        <v>2.3E-2</v>
      </c>
      <c r="B136" t="s">
        <v>26</v>
      </c>
      <c r="C136" s="8">
        <v>0</v>
      </c>
      <c r="D136" s="8">
        <v>-108.8</v>
      </c>
      <c r="E136" t="s">
        <v>26</v>
      </c>
      <c r="F136" s="23" t="s">
        <v>496</v>
      </c>
      <c r="G136" t="s">
        <v>49</v>
      </c>
      <c r="H136" s="124" t="s">
        <v>497</v>
      </c>
      <c r="I136" s="23" t="s">
        <v>30</v>
      </c>
      <c r="J136" s="124" t="s">
        <v>504</v>
      </c>
      <c r="K136" t="s">
        <v>31</v>
      </c>
      <c r="L136" s="23">
        <v>1260</v>
      </c>
      <c r="M136" s="23">
        <f>O136-N136</f>
        <v>43</v>
      </c>
      <c r="N136" s="23">
        <v>1979</v>
      </c>
      <c r="O136" s="23">
        <v>2022</v>
      </c>
      <c r="P136" s="23" t="s">
        <v>226</v>
      </c>
      <c r="Q136" s="5" t="s">
        <v>499</v>
      </c>
      <c r="R136" s="23" t="s">
        <v>505</v>
      </c>
      <c r="S136" s="23" t="s">
        <v>501</v>
      </c>
      <c r="T136" s="23"/>
      <c r="U136" s="23" t="s">
        <v>502</v>
      </c>
      <c r="V136" s="23"/>
      <c r="W136" s="23" t="s">
        <v>503</v>
      </c>
      <c r="X136" s="23" t="s">
        <v>436</v>
      </c>
      <c r="Y136" t="s">
        <v>219</v>
      </c>
    </row>
    <row r="137" spans="1:31" ht="15" customHeight="1">
      <c r="A137" s="8">
        <v>6.6000000000000003E-2</v>
      </c>
      <c r="B137" s="8" t="s">
        <v>625</v>
      </c>
      <c r="C137" s="8">
        <v>29</v>
      </c>
      <c r="D137" s="8">
        <v>113</v>
      </c>
      <c r="E137" s="8" t="s">
        <v>47</v>
      </c>
      <c r="F137" s="181" t="s">
        <v>626</v>
      </c>
      <c r="G137" t="s">
        <v>62</v>
      </c>
      <c r="H137" s="124" t="s">
        <v>627</v>
      </c>
      <c r="I137" s="124" t="s">
        <v>30</v>
      </c>
      <c r="J137" s="124" t="s">
        <v>40</v>
      </c>
      <c r="K137" s="124" t="s">
        <v>40</v>
      </c>
      <c r="L137" s="124">
        <v>1</v>
      </c>
      <c r="M137" s="8">
        <v>34</v>
      </c>
      <c r="N137" s="124">
        <v>1988</v>
      </c>
      <c r="O137" s="124">
        <v>2022</v>
      </c>
      <c r="P137" s="124" t="s">
        <v>226</v>
      </c>
      <c r="Q137" s="8" t="s">
        <v>628</v>
      </c>
      <c r="R137" s="8" t="s">
        <v>629</v>
      </c>
      <c r="S137" s="8" t="s">
        <v>55</v>
      </c>
      <c r="T137" s="8"/>
      <c r="X137" t="s">
        <v>219</v>
      </c>
      <c r="Y137" t="s">
        <v>335</v>
      </c>
    </row>
    <row r="138" spans="1:31" ht="15" customHeight="1">
      <c r="A138" s="8">
        <v>0.15</v>
      </c>
      <c r="B138" s="8" t="s">
        <v>625</v>
      </c>
      <c r="C138" s="8">
        <v>29</v>
      </c>
      <c r="D138" s="8">
        <v>113</v>
      </c>
      <c r="E138" s="8" t="s">
        <v>47</v>
      </c>
      <c r="F138" s="181" t="s">
        <v>626</v>
      </c>
      <c r="G138" t="s">
        <v>62</v>
      </c>
      <c r="H138" s="124" t="s">
        <v>627</v>
      </c>
      <c r="I138" s="124" t="s">
        <v>30</v>
      </c>
      <c r="J138" s="124" t="s">
        <v>40</v>
      </c>
      <c r="K138" s="124" t="s">
        <v>81</v>
      </c>
      <c r="L138" s="124">
        <v>1</v>
      </c>
      <c r="M138" s="8">
        <v>34</v>
      </c>
      <c r="N138" s="124">
        <v>1988</v>
      </c>
      <c r="O138" s="124">
        <v>2022</v>
      </c>
      <c r="P138" s="124" t="s">
        <v>226</v>
      </c>
      <c r="Q138" s="8" t="s">
        <v>628</v>
      </c>
      <c r="R138" s="8" t="s">
        <v>629</v>
      </c>
      <c r="S138" s="8" t="s">
        <v>55</v>
      </c>
      <c r="T138" s="8"/>
      <c r="X138" t="s">
        <v>219</v>
      </c>
      <c r="Y138" t="s">
        <v>335</v>
      </c>
    </row>
    <row r="139" spans="1:31" ht="15" customHeight="1">
      <c r="A139" s="8">
        <v>2.5999999999999999E-2</v>
      </c>
      <c r="B139" s="8" t="s">
        <v>625</v>
      </c>
      <c r="C139" s="8">
        <v>29</v>
      </c>
      <c r="D139" s="8">
        <v>113</v>
      </c>
      <c r="E139" s="8" t="s">
        <v>47</v>
      </c>
      <c r="F139" s="181" t="s">
        <v>626</v>
      </c>
      <c r="G139" t="s">
        <v>62</v>
      </c>
      <c r="H139" s="124" t="s">
        <v>627</v>
      </c>
      <c r="I139" s="124" t="s">
        <v>30</v>
      </c>
      <c r="J139" s="124" t="s">
        <v>40</v>
      </c>
      <c r="K139" s="124" t="s">
        <v>31</v>
      </c>
      <c r="L139" s="124">
        <v>1</v>
      </c>
      <c r="M139" s="8">
        <v>34</v>
      </c>
      <c r="N139" s="124">
        <v>1988</v>
      </c>
      <c r="O139" s="124">
        <v>2022</v>
      </c>
      <c r="P139" s="124" t="s">
        <v>226</v>
      </c>
      <c r="Q139" s="8" t="s">
        <v>628</v>
      </c>
      <c r="R139" s="8" t="s">
        <v>629</v>
      </c>
      <c r="S139" s="8" t="s">
        <v>55</v>
      </c>
      <c r="T139" s="8"/>
      <c r="X139" t="s">
        <v>219</v>
      </c>
      <c r="Y139" t="s">
        <v>335</v>
      </c>
    </row>
    <row r="140" spans="1:31" ht="15" customHeight="1">
      <c r="A140" s="8">
        <v>4.4999999999999998E-2</v>
      </c>
      <c r="B140" s="8" t="s">
        <v>625</v>
      </c>
      <c r="C140" s="8">
        <v>29</v>
      </c>
      <c r="D140" s="8">
        <v>113</v>
      </c>
      <c r="E140" s="8" t="s">
        <v>47</v>
      </c>
      <c r="F140" s="181" t="s">
        <v>626</v>
      </c>
      <c r="G140" t="s">
        <v>62</v>
      </c>
      <c r="H140" s="124" t="s">
        <v>627</v>
      </c>
      <c r="I140" s="124" t="s">
        <v>30</v>
      </c>
      <c r="J140" s="124" t="s">
        <v>40</v>
      </c>
      <c r="K140" s="124" t="s">
        <v>80</v>
      </c>
      <c r="L140" s="124">
        <v>1</v>
      </c>
      <c r="M140" s="8">
        <v>34</v>
      </c>
      <c r="N140" s="124">
        <v>1988</v>
      </c>
      <c r="O140" s="124">
        <v>2022</v>
      </c>
      <c r="P140" s="124" t="s">
        <v>226</v>
      </c>
      <c r="Q140" s="8" t="s">
        <v>628</v>
      </c>
      <c r="R140" s="8" t="s">
        <v>629</v>
      </c>
      <c r="S140" s="8" t="s">
        <v>55</v>
      </c>
      <c r="T140" s="8"/>
      <c r="X140" t="s">
        <v>219</v>
      </c>
      <c r="Y140" t="s">
        <v>335</v>
      </c>
    </row>
    <row r="141" spans="1:31" ht="15" customHeight="1">
      <c r="A141" s="8">
        <v>4.2999999999999997E-2</v>
      </c>
      <c r="B141" s="8" t="s">
        <v>625</v>
      </c>
      <c r="C141" s="8">
        <v>29</v>
      </c>
      <c r="D141" s="8">
        <v>113</v>
      </c>
      <c r="E141" s="8" t="s">
        <v>47</v>
      </c>
      <c r="F141" s="181" t="s">
        <v>626</v>
      </c>
      <c r="G141" t="s">
        <v>62</v>
      </c>
      <c r="H141" s="124" t="s">
        <v>627</v>
      </c>
      <c r="I141" s="124" t="s">
        <v>30</v>
      </c>
      <c r="J141" s="124" t="s">
        <v>40</v>
      </c>
      <c r="K141" s="124" t="s">
        <v>73</v>
      </c>
      <c r="L141" s="124">
        <v>1</v>
      </c>
      <c r="M141" s="8">
        <v>34</v>
      </c>
      <c r="N141" s="124">
        <v>1988</v>
      </c>
      <c r="O141" s="124">
        <v>2022</v>
      </c>
      <c r="P141" s="124" t="s">
        <v>226</v>
      </c>
      <c r="Q141" s="8" t="s">
        <v>628</v>
      </c>
      <c r="R141" s="8" t="s">
        <v>629</v>
      </c>
      <c r="S141" s="8" t="s">
        <v>55</v>
      </c>
      <c r="T141" s="8"/>
      <c r="X141" t="s">
        <v>219</v>
      </c>
      <c r="Y141" t="s">
        <v>335</v>
      </c>
    </row>
    <row r="142" spans="1:31" s="5" customFormat="1" ht="15" customHeight="1">
      <c r="A142">
        <v>6.8000000000000005E-2</v>
      </c>
      <c r="B142" t="s">
        <v>424</v>
      </c>
      <c r="C142">
        <v>34.893899037779597</v>
      </c>
      <c r="D142">
        <v>97.702183554635596</v>
      </c>
      <c r="E142" t="s">
        <v>47</v>
      </c>
      <c r="F142" t="s">
        <v>425</v>
      </c>
      <c r="G142" t="s">
        <v>49</v>
      </c>
      <c r="H142" s="8" t="s">
        <v>84</v>
      </c>
      <c r="I142" t="s">
        <v>30</v>
      </c>
      <c r="J142" t="s">
        <v>40</v>
      </c>
      <c r="K142" t="s">
        <v>40</v>
      </c>
      <c r="L142">
        <v>1</v>
      </c>
      <c r="M142">
        <f>O142-N142</f>
        <v>37</v>
      </c>
      <c r="N142">
        <v>1979</v>
      </c>
      <c r="O142">
        <v>2016</v>
      </c>
      <c r="P142" t="s">
        <v>226</v>
      </c>
      <c r="Q142" s="4" t="s">
        <v>426</v>
      </c>
      <c r="R142" t="s">
        <v>427</v>
      </c>
      <c r="S142" t="s">
        <v>172</v>
      </c>
      <c r="T142" t="s">
        <v>428</v>
      </c>
      <c r="U142" s="2" t="s">
        <v>429</v>
      </c>
      <c r="V142"/>
      <c r="W142"/>
      <c r="X142" t="s">
        <v>294</v>
      </c>
      <c r="Y142" t="s">
        <v>219</v>
      </c>
    </row>
    <row r="143" spans="1:31" ht="15" customHeight="1">
      <c r="A143">
        <v>6.4000000000000001E-2</v>
      </c>
      <c r="B143" t="s">
        <v>430</v>
      </c>
      <c r="C143">
        <v>35.049444812770297</v>
      </c>
      <c r="D143">
        <v>97.8990776867645</v>
      </c>
      <c r="E143" t="s">
        <v>47</v>
      </c>
      <c r="F143" t="s">
        <v>425</v>
      </c>
      <c r="G143" t="s">
        <v>49</v>
      </c>
      <c r="H143" s="8" t="s">
        <v>84</v>
      </c>
      <c r="J143" t="s">
        <v>40</v>
      </c>
      <c r="K143" t="s">
        <v>40</v>
      </c>
      <c r="L143">
        <v>1</v>
      </c>
      <c r="M143">
        <f>O143-N143</f>
        <v>37</v>
      </c>
      <c r="N143">
        <v>1979</v>
      </c>
      <c r="O143">
        <v>2016</v>
      </c>
      <c r="P143" t="s">
        <v>226</v>
      </c>
      <c r="Q143" s="4" t="s">
        <v>426</v>
      </c>
      <c r="R143" t="s">
        <v>427</v>
      </c>
      <c r="S143" t="s">
        <v>172</v>
      </c>
      <c r="U143" s="2"/>
      <c r="X143" t="s">
        <v>294</v>
      </c>
      <c r="Y143" t="s">
        <v>219</v>
      </c>
    </row>
    <row r="144" spans="1:31" s="72" customFormat="1" ht="15" customHeight="1">
      <c r="A144" s="208">
        <v>2.4E-2</v>
      </c>
      <c r="B144" s="208" t="s">
        <v>285</v>
      </c>
      <c r="C144" s="89">
        <v>0</v>
      </c>
      <c r="D144" s="89">
        <v>-153.6</v>
      </c>
      <c r="E144" s="208" t="s">
        <v>26</v>
      </c>
      <c r="F144" s="208" t="s">
        <v>286</v>
      </c>
      <c r="G144" s="208" t="s">
        <v>62</v>
      </c>
      <c r="H144" s="208" t="s">
        <v>168</v>
      </c>
      <c r="I144" s="208" t="s">
        <v>30</v>
      </c>
      <c r="J144" s="208" t="s">
        <v>287</v>
      </c>
      <c r="K144" s="208" t="s">
        <v>31</v>
      </c>
      <c r="L144" s="208">
        <v>681</v>
      </c>
      <c r="M144" s="208">
        <v>20</v>
      </c>
      <c r="N144" s="208">
        <v>1996</v>
      </c>
      <c r="O144" s="208">
        <v>2015</v>
      </c>
      <c r="P144" s="208" t="s">
        <v>140</v>
      </c>
      <c r="Q144" s="209" t="s">
        <v>288</v>
      </c>
      <c r="R144" s="208" t="s">
        <v>289</v>
      </c>
      <c r="S144" s="208" t="s">
        <v>290</v>
      </c>
      <c r="T144" s="210" t="s">
        <v>291</v>
      </c>
      <c r="U144" s="211" t="s">
        <v>292</v>
      </c>
      <c r="V144" s="208"/>
      <c r="W144" s="208" t="s">
        <v>293</v>
      </c>
      <c r="X144" s="208" t="s">
        <v>294</v>
      </c>
      <c r="Y144" s="208" t="s">
        <v>59</v>
      </c>
      <c r="Z144" s="72" t="s">
        <v>2390</v>
      </c>
    </row>
    <row r="145" spans="1:25" ht="15" customHeight="1">
      <c r="A145">
        <v>3.3000000000000002E-2</v>
      </c>
      <c r="B145" t="s">
        <v>252</v>
      </c>
      <c r="C145">
        <v>44.888917318150497</v>
      </c>
      <c r="D145">
        <v>-13.5323455981917</v>
      </c>
      <c r="E145" t="s">
        <v>37</v>
      </c>
      <c r="F145" t="s">
        <v>213</v>
      </c>
      <c r="G145" t="s">
        <v>49</v>
      </c>
      <c r="H145" t="s">
        <v>84</v>
      </c>
      <c r="I145" t="s">
        <v>30</v>
      </c>
      <c r="J145" t="s">
        <v>31</v>
      </c>
      <c r="K145" t="s">
        <v>31</v>
      </c>
      <c r="L145">
        <v>422</v>
      </c>
      <c r="M145">
        <f t="shared" ref="M145:M147" si="7">O145-N145</f>
        <v>36</v>
      </c>
      <c r="N145">
        <v>1980</v>
      </c>
      <c r="O145">
        <v>2016</v>
      </c>
      <c r="P145" t="s">
        <v>226</v>
      </c>
      <c r="Q145" s="14" t="s">
        <v>253</v>
      </c>
      <c r="R145" t="s">
        <v>254</v>
      </c>
      <c r="S145" t="s">
        <v>76</v>
      </c>
      <c r="T145" t="s">
        <v>255</v>
      </c>
      <c r="U145" s="2" t="s">
        <v>256</v>
      </c>
      <c r="X145" t="s">
        <v>59</v>
      </c>
      <c r="Y145" t="s">
        <v>219</v>
      </c>
    </row>
    <row r="146" spans="1:25" ht="15" customHeight="1">
      <c r="A146">
        <v>3.5000000000000003E-2</v>
      </c>
      <c r="B146" t="s">
        <v>60</v>
      </c>
      <c r="C146" s="8">
        <v>56</v>
      </c>
      <c r="D146" s="9">
        <v>15</v>
      </c>
      <c r="E146" t="s">
        <v>37</v>
      </c>
      <c r="F146" t="s">
        <v>177</v>
      </c>
      <c r="G146" t="s">
        <v>103</v>
      </c>
      <c r="H146" t="s">
        <v>84</v>
      </c>
      <c r="I146" t="s">
        <v>137</v>
      </c>
      <c r="J146" t="s">
        <v>135</v>
      </c>
      <c r="K146" t="s">
        <v>40</v>
      </c>
      <c r="L146">
        <v>8</v>
      </c>
      <c r="M146">
        <f t="shared" si="7"/>
        <v>41</v>
      </c>
      <c r="N146">
        <v>1973</v>
      </c>
      <c r="O146">
        <v>2014</v>
      </c>
      <c r="P146" t="s">
        <v>140</v>
      </c>
      <c r="Q146" s="4" t="s">
        <v>178</v>
      </c>
      <c r="R146" t="s">
        <v>179</v>
      </c>
      <c r="S146" s="124" t="s">
        <v>180</v>
      </c>
      <c r="U146" s="2" t="s">
        <v>181</v>
      </c>
      <c r="W146" t="s">
        <v>182</v>
      </c>
      <c r="X146" t="s">
        <v>59</v>
      </c>
      <c r="Y146" t="s">
        <v>2380</v>
      </c>
    </row>
    <row r="147" spans="1:25" ht="15" customHeight="1">
      <c r="A147">
        <v>3.2000000000000001E-2</v>
      </c>
      <c r="B147" t="s">
        <v>60</v>
      </c>
      <c r="C147" s="8">
        <v>56</v>
      </c>
      <c r="D147" s="9">
        <v>15</v>
      </c>
      <c r="E147" t="s">
        <v>37</v>
      </c>
      <c r="F147" t="s">
        <v>177</v>
      </c>
      <c r="G147" t="s">
        <v>103</v>
      </c>
      <c r="H147" t="s">
        <v>84</v>
      </c>
      <c r="I147" t="s">
        <v>30</v>
      </c>
      <c r="J147" t="s">
        <v>183</v>
      </c>
      <c r="K147" t="s">
        <v>31</v>
      </c>
      <c r="L147">
        <v>8</v>
      </c>
      <c r="M147">
        <f t="shared" si="7"/>
        <v>41</v>
      </c>
      <c r="N147">
        <v>1973</v>
      </c>
      <c r="O147">
        <v>2014</v>
      </c>
      <c r="P147" t="s">
        <v>140</v>
      </c>
      <c r="Q147" s="4" t="s">
        <v>178</v>
      </c>
      <c r="R147" t="s">
        <v>179</v>
      </c>
      <c r="S147" s="124" t="s">
        <v>180</v>
      </c>
      <c r="U147" s="2" t="s">
        <v>181</v>
      </c>
      <c r="W147" t="s">
        <v>182</v>
      </c>
      <c r="X147" t="s">
        <v>59</v>
      </c>
      <c r="Y147" t="s">
        <v>2380</v>
      </c>
    </row>
    <row r="148" spans="1:25" ht="15" customHeight="1">
      <c r="A148" s="8">
        <v>1.2E-2</v>
      </c>
      <c r="B148" s="8" t="s">
        <v>82</v>
      </c>
      <c r="C148" s="8">
        <v>36</v>
      </c>
      <c r="D148" s="8">
        <v>104</v>
      </c>
      <c r="E148" s="8" t="s">
        <v>37</v>
      </c>
      <c r="F148" s="8" t="s">
        <v>410</v>
      </c>
      <c r="G148" s="8" t="s">
        <v>49</v>
      </c>
      <c r="H148" s="8" t="s">
        <v>84</v>
      </c>
      <c r="I148" s="8" t="s">
        <v>30</v>
      </c>
      <c r="J148" s="124" t="s">
        <v>630</v>
      </c>
      <c r="K148" s="124" t="s">
        <v>31</v>
      </c>
      <c r="L148" s="8">
        <v>1242</v>
      </c>
      <c r="M148" s="8">
        <v>70</v>
      </c>
      <c r="N148" s="124">
        <v>1950</v>
      </c>
      <c r="O148" s="124">
        <v>2020</v>
      </c>
      <c r="P148" s="124" t="s">
        <v>226</v>
      </c>
      <c r="Q148" s="9" t="s">
        <v>631</v>
      </c>
      <c r="R148" s="8" t="s">
        <v>632</v>
      </c>
      <c r="S148" s="8" t="s">
        <v>172</v>
      </c>
      <c r="T148" s="8" t="s">
        <v>2391</v>
      </c>
      <c r="X148" t="s">
        <v>219</v>
      </c>
      <c r="Y148" s="8" t="s">
        <v>294</v>
      </c>
    </row>
    <row r="149" spans="1:25" ht="15" customHeight="1">
      <c r="A149" s="8">
        <v>7.0000000000000001E-3</v>
      </c>
      <c r="B149" s="8" t="s">
        <v>633</v>
      </c>
      <c r="C149" s="8">
        <v>36</v>
      </c>
      <c r="D149" s="8">
        <v>104</v>
      </c>
      <c r="E149" s="8" t="s">
        <v>37</v>
      </c>
      <c r="F149" s="8" t="s">
        <v>410</v>
      </c>
      <c r="G149" s="8" t="s">
        <v>49</v>
      </c>
      <c r="H149" s="8" t="s">
        <v>84</v>
      </c>
      <c r="I149" s="8" t="s">
        <v>30</v>
      </c>
      <c r="J149" s="124" t="s">
        <v>630</v>
      </c>
      <c r="K149" s="124" t="s">
        <v>31</v>
      </c>
      <c r="L149" s="8">
        <v>137</v>
      </c>
      <c r="M149" s="8">
        <v>70</v>
      </c>
      <c r="N149" s="124">
        <v>1950</v>
      </c>
      <c r="O149" s="124">
        <v>2020</v>
      </c>
      <c r="P149" s="124" t="s">
        <v>226</v>
      </c>
      <c r="Q149" s="9" t="s">
        <v>631</v>
      </c>
      <c r="R149" s="8" t="s">
        <v>632</v>
      </c>
      <c r="S149" s="8" t="s">
        <v>172</v>
      </c>
      <c r="T149" s="8"/>
      <c r="X149" t="s">
        <v>219</v>
      </c>
      <c r="Y149" s="8" t="s">
        <v>294</v>
      </c>
    </row>
    <row r="150" spans="1:25" ht="15" customHeight="1">
      <c r="A150" s="8">
        <v>2.1000000000000001E-2</v>
      </c>
      <c r="B150" s="8" t="s">
        <v>634</v>
      </c>
      <c r="C150" s="8">
        <v>36</v>
      </c>
      <c r="D150" s="8">
        <v>104</v>
      </c>
      <c r="E150" s="8" t="s">
        <v>37</v>
      </c>
      <c r="F150" s="8" t="s">
        <v>410</v>
      </c>
      <c r="G150" s="8" t="s">
        <v>49</v>
      </c>
      <c r="H150" s="8" t="s">
        <v>84</v>
      </c>
      <c r="I150" s="8" t="s">
        <v>30</v>
      </c>
      <c r="J150" s="124" t="s">
        <v>630</v>
      </c>
      <c r="K150" s="124" t="s">
        <v>31</v>
      </c>
      <c r="L150" s="8">
        <v>482</v>
      </c>
      <c r="M150" s="8">
        <v>70</v>
      </c>
      <c r="N150" s="124">
        <v>1950</v>
      </c>
      <c r="O150" s="124">
        <v>2020</v>
      </c>
      <c r="P150" s="124" t="s">
        <v>226</v>
      </c>
      <c r="Q150" s="9" t="s">
        <v>631</v>
      </c>
      <c r="R150" s="8" t="s">
        <v>632</v>
      </c>
      <c r="S150" s="8" t="s">
        <v>172</v>
      </c>
      <c r="T150" s="8"/>
      <c r="X150" t="s">
        <v>219</v>
      </c>
      <c r="Y150" s="8" t="s">
        <v>294</v>
      </c>
    </row>
    <row r="151" spans="1:25" ht="15" customHeight="1">
      <c r="A151" s="8">
        <v>1.2999999999999999E-2</v>
      </c>
      <c r="B151" s="8" t="s">
        <v>635</v>
      </c>
      <c r="C151" s="8">
        <v>36</v>
      </c>
      <c r="D151" s="8">
        <v>104</v>
      </c>
      <c r="E151" s="8" t="s">
        <v>37</v>
      </c>
      <c r="F151" s="8" t="s">
        <v>410</v>
      </c>
      <c r="G151" s="8" t="s">
        <v>49</v>
      </c>
      <c r="H151" s="8" t="s">
        <v>84</v>
      </c>
      <c r="I151" s="8" t="s">
        <v>30</v>
      </c>
      <c r="J151" s="124" t="s">
        <v>630</v>
      </c>
      <c r="K151" s="124" t="s">
        <v>31</v>
      </c>
      <c r="L151" s="8">
        <v>130</v>
      </c>
      <c r="M151" s="8">
        <v>70</v>
      </c>
      <c r="N151" s="124">
        <v>1950</v>
      </c>
      <c r="O151" s="124">
        <v>2020</v>
      </c>
      <c r="P151" s="124" t="s">
        <v>226</v>
      </c>
      <c r="Q151" s="9" t="s">
        <v>631</v>
      </c>
      <c r="R151" s="8" t="s">
        <v>632</v>
      </c>
      <c r="S151" s="8" t="s">
        <v>172</v>
      </c>
      <c r="T151" s="8"/>
      <c r="X151" t="s">
        <v>219</v>
      </c>
      <c r="Y151" s="8" t="s">
        <v>294</v>
      </c>
    </row>
    <row r="152" spans="1:25" ht="15" customHeight="1">
      <c r="A152" s="8">
        <v>6.0000000000000001E-3</v>
      </c>
      <c r="B152" s="8" t="s">
        <v>636</v>
      </c>
      <c r="C152" s="8">
        <v>36</v>
      </c>
      <c r="D152" s="8">
        <v>104</v>
      </c>
      <c r="E152" s="8" t="s">
        <v>37</v>
      </c>
      <c r="F152" s="8" t="s">
        <v>410</v>
      </c>
      <c r="G152" s="8" t="s">
        <v>49</v>
      </c>
      <c r="H152" s="8" t="s">
        <v>84</v>
      </c>
      <c r="I152" s="8" t="s">
        <v>30</v>
      </c>
      <c r="J152" s="124" t="s">
        <v>630</v>
      </c>
      <c r="K152" s="124" t="s">
        <v>31</v>
      </c>
      <c r="L152" s="8">
        <v>493</v>
      </c>
      <c r="M152" s="8">
        <v>70</v>
      </c>
      <c r="N152" s="124">
        <v>1950</v>
      </c>
      <c r="O152" s="124">
        <v>2020</v>
      </c>
      <c r="P152" s="124" t="s">
        <v>226</v>
      </c>
      <c r="Q152" s="9" t="s">
        <v>631</v>
      </c>
      <c r="R152" s="8" t="s">
        <v>632</v>
      </c>
      <c r="S152" s="8" t="s">
        <v>172</v>
      </c>
      <c r="T152" s="8"/>
      <c r="X152" t="s">
        <v>219</v>
      </c>
      <c r="Y152" s="8" t="s">
        <v>294</v>
      </c>
    </row>
    <row r="153" spans="1:25" ht="15" customHeight="1">
      <c r="A153">
        <v>2.1000000000000001E-2</v>
      </c>
      <c r="B153" t="s">
        <v>70</v>
      </c>
      <c r="C153">
        <v>34.3411033236398</v>
      </c>
      <c r="D153" s="9">
        <v>103.52721500615201</v>
      </c>
      <c r="E153" t="s">
        <v>37</v>
      </c>
      <c r="F153" t="s">
        <v>147</v>
      </c>
      <c r="G153" t="s">
        <v>62</v>
      </c>
      <c r="H153" t="s">
        <v>84</v>
      </c>
      <c r="I153" t="s">
        <v>30</v>
      </c>
      <c r="J153" t="s">
        <v>148</v>
      </c>
      <c r="K153" t="s">
        <v>40</v>
      </c>
      <c r="L153">
        <v>169</v>
      </c>
      <c r="M153">
        <v>15</v>
      </c>
      <c r="N153">
        <v>2001</v>
      </c>
      <c r="O153">
        <v>2016</v>
      </c>
      <c r="P153" t="s">
        <v>140</v>
      </c>
      <c r="Q153" s="4" t="s">
        <v>149</v>
      </c>
      <c r="R153" t="s">
        <v>150</v>
      </c>
      <c r="S153" t="s">
        <v>151</v>
      </c>
      <c r="T153" t="s">
        <v>152</v>
      </c>
      <c r="U153" s="177" t="s">
        <v>153</v>
      </c>
      <c r="W153" t="s">
        <v>154</v>
      </c>
      <c r="X153" t="s">
        <v>59</v>
      </c>
      <c r="Y153" s="8" t="s">
        <v>2392</v>
      </c>
    </row>
    <row r="154" spans="1:25" ht="15" customHeight="1">
      <c r="A154">
        <v>3.1E-2</v>
      </c>
      <c r="B154" t="s">
        <v>70</v>
      </c>
      <c r="C154">
        <v>34.3411033236398</v>
      </c>
      <c r="D154" s="9">
        <v>103.52721500615201</v>
      </c>
      <c r="E154" t="s">
        <v>37</v>
      </c>
      <c r="F154" t="s">
        <v>147</v>
      </c>
      <c r="G154" t="s">
        <v>62</v>
      </c>
      <c r="H154" t="s">
        <v>84</v>
      </c>
      <c r="I154" t="s">
        <v>30</v>
      </c>
      <c r="J154" t="s">
        <v>155</v>
      </c>
      <c r="K154" t="s">
        <v>155</v>
      </c>
      <c r="L154">
        <v>169</v>
      </c>
      <c r="M154">
        <v>15</v>
      </c>
      <c r="N154">
        <v>2001</v>
      </c>
      <c r="O154">
        <v>2016</v>
      </c>
      <c r="P154" t="s">
        <v>140</v>
      </c>
      <c r="Q154" s="4" t="s">
        <v>149</v>
      </c>
      <c r="R154" t="s">
        <v>156</v>
      </c>
      <c r="S154" t="s">
        <v>151</v>
      </c>
      <c r="T154" t="s">
        <v>152</v>
      </c>
      <c r="U154" s="177" t="s">
        <v>157</v>
      </c>
      <c r="W154" t="s">
        <v>154</v>
      </c>
      <c r="X154" t="s">
        <v>59</v>
      </c>
      <c r="Y154" s="8" t="s">
        <v>2392</v>
      </c>
    </row>
    <row r="155" spans="1:25" ht="15" customHeight="1">
      <c r="A155">
        <v>4.0000000000000001E-3</v>
      </c>
      <c r="B155" t="s">
        <v>257</v>
      </c>
      <c r="C155">
        <v>24.855210616855999</v>
      </c>
      <c r="D155" s="9">
        <v>102.695705895234</v>
      </c>
      <c r="E155" t="s">
        <v>47</v>
      </c>
      <c r="F155" t="s">
        <v>185</v>
      </c>
      <c r="G155" t="s">
        <v>62</v>
      </c>
      <c r="H155" t="s">
        <v>84</v>
      </c>
      <c r="I155" t="s">
        <v>134</v>
      </c>
      <c r="J155" t="s">
        <v>148</v>
      </c>
      <c r="K155" t="s">
        <v>40</v>
      </c>
      <c r="L155">
        <v>1</v>
      </c>
      <c r="M155">
        <v>17</v>
      </c>
      <c r="N155">
        <v>2001</v>
      </c>
      <c r="O155">
        <v>2018</v>
      </c>
      <c r="P155" t="s">
        <v>140</v>
      </c>
      <c r="Q155" s="152" t="s">
        <v>258</v>
      </c>
      <c r="R155" t="s">
        <v>259</v>
      </c>
      <c r="S155" t="s">
        <v>55</v>
      </c>
      <c r="U155" s="2" t="s">
        <v>260</v>
      </c>
      <c r="W155" t="s">
        <v>261</v>
      </c>
      <c r="X155" t="s">
        <v>59</v>
      </c>
      <c r="Y155" s="23" t="s">
        <v>436</v>
      </c>
    </row>
    <row r="156" spans="1:25" ht="15" customHeight="1">
      <c r="A156">
        <v>2.3400000000000001E-2</v>
      </c>
      <c r="B156" t="s">
        <v>257</v>
      </c>
      <c r="C156">
        <v>24.855210616855999</v>
      </c>
      <c r="D156" s="9">
        <v>102.695705895234</v>
      </c>
      <c r="E156" t="s">
        <v>47</v>
      </c>
      <c r="F156" t="s">
        <v>185</v>
      </c>
      <c r="G156" t="s">
        <v>62</v>
      </c>
      <c r="H156" t="s">
        <v>84</v>
      </c>
      <c r="I156" t="s">
        <v>134</v>
      </c>
      <c r="J156" t="s">
        <v>155</v>
      </c>
      <c r="K156" t="s">
        <v>155</v>
      </c>
      <c r="L156">
        <v>1</v>
      </c>
      <c r="M156">
        <v>17</v>
      </c>
      <c r="N156">
        <v>2001</v>
      </c>
      <c r="O156">
        <v>2018</v>
      </c>
      <c r="P156" t="s">
        <v>140</v>
      </c>
      <c r="Q156" s="152" t="s">
        <v>258</v>
      </c>
      <c r="R156" t="s">
        <v>262</v>
      </c>
      <c r="S156" t="s">
        <v>55</v>
      </c>
      <c r="U156" s="2"/>
      <c r="W156" t="s">
        <v>261</v>
      </c>
      <c r="X156" t="s">
        <v>59</v>
      </c>
      <c r="Y156" s="23" t="s">
        <v>436</v>
      </c>
    </row>
    <row r="157" spans="1:25" ht="15" customHeight="1">
      <c r="A157">
        <v>2.6100000000000002E-2</v>
      </c>
      <c r="B157" t="s">
        <v>257</v>
      </c>
      <c r="C157">
        <v>24.855210616855999</v>
      </c>
      <c r="D157" s="9">
        <v>102.695705895234</v>
      </c>
      <c r="E157" t="s">
        <v>47</v>
      </c>
      <c r="F157" t="s">
        <v>185</v>
      </c>
      <c r="G157" t="s">
        <v>62</v>
      </c>
      <c r="H157" t="s">
        <v>84</v>
      </c>
      <c r="I157" t="s">
        <v>134</v>
      </c>
      <c r="J157" t="s">
        <v>263</v>
      </c>
      <c r="K157" t="s">
        <v>73</v>
      </c>
      <c r="L157">
        <v>1</v>
      </c>
      <c r="M157">
        <v>17</v>
      </c>
      <c r="N157">
        <v>2001</v>
      </c>
      <c r="O157">
        <v>2018</v>
      </c>
      <c r="P157" t="s">
        <v>140</v>
      </c>
      <c r="Q157" s="152" t="s">
        <v>258</v>
      </c>
      <c r="R157" t="s">
        <v>264</v>
      </c>
      <c r="S157" t="s">
        <v>55</v>
      </c>
      <c r="U157" s="2"/>
      <c r="W157" t="s">
        <v>261</v>
      </c>
      <c r="X157" t="s">
        <v>59</v>
      </c>
      <c r="Y157" s="23" t="s">
        <v>436</v>
      </c>
    </row>
    <row r="158" spans="1:25" ht="15" customHeight="1">
      <c r="A158">
        <v>3.1E-2</v>
      </c>
      <c r="B158" t="s">
        <v>257</v>
      </c>
      <c r="C158">
        <v>24.855210616855999</v>
      </c>
      <c r="D158" s="9">
        <v>102.695705895234</v>
      </c>
      <c r="E158" t="s">
        <v>47</v>
      </c>
      <c r="F158" t="s">
        <v>185</v>
      </c>
      <c r="G158" t="s">
        <v>62</v>
      </c>
      <c r="H158" t="s">
        <v>84</v>
      </c>
      <c r="I158" t="s">
        <v>134</v>
      </c>
      <c r="J158" t="s">
        <v>265</v>
      </c>
      <c r="K158" t="s">
        <v>265</v>
      </c>
      <c r="L158">
        <v>1</v>
      </c>
      <c r="M158">
        <v>17</v>
      </c>
      <c r="N158">
        <v>2001</v>
      </c>
      <c r="O158">
        <v>2018</v>
      </c>
      <c r="P158" t="s">
        <v>140</v>
      </c>
      <c r="Q158" s="152" t="s">
        <v>258</v>
      </c>
      <c r="R158" t="s">
        <v>264</v>
      </c>
      <c r="S158" t="s">
        <v>55</v>
      </c>
      <c r="U158" s="2"/>
      <c r="W158" t="s">
        <v>261</v>
      </c>
      <c r="X158" t="s">
        <v>59</v>
      </c>
      <c r="Y158" s="23" t="s">
        <v>436</v>
      </c>
    </row>
    <row r="159" spans="1:25" ht="15" customHeight="1">
      <c r="A159">
        <v>-8.6999999999999994E-3</v>
      </c>
      <c r="B159" t="s">
        <v>257</v>
      </c>
      <c r="C159">
        <v>24.855210616855999</v>
      </c>
      <c r="D159" s="9">
        <v>102.695705895234</v>
      </c>
      <c r="E159" t="s">
        <v>47</v>
      </c>
      <c r="F159" t="s">
        <v>185</v>
      </c>
      <c r="G159" t="s">
        <v>62</v>
      </c>
      <c r="H159" t="s">
        <v>84</v>
      </c>
      <c r="I159" t="s">
        <v>134</v>
      </c>
      <c r="J159" t="s">
        <v>266</v>
      </c>
      <c r="K159" t="s">
        <v>81</v>
      </c>
      <c r="L159">
        <v>1</v>
      </c>
      <c r="M159">
        <v>17</v>
      </c>
      <c r="N159">
        <v>2001</v>
      </c>
      <c r="O159">
        <v>2018</v>
      </c>
      <c r="P159" t="s">
        <v>140</v>
      </c>
      <c r="Q159" s="152" t="s">
        <v>258</v>
      </c>
      <c r="R159" t="s">
        <v>264</v>
      </c>
      <c r="S159" t="s">
        <v>55</v>
      </c>
      <c r="U159" s="2"/>
      <c r="W159" t="s">
        <v>261</v>
      </c>
      <c r="X159" t="s">
        <v>59</v>
      </c>
      <c r="Y159" s="23" t="s">
        <v>436</v>
      </c>
    </row>
    <row r="160" spans="1:25" ht="15" customHeight="1">
      <c r="A160">
        <v>2.7199999999999998E-2</v>
      </c>
      <c r="B160" t="s">
        <v>257</v>
      </c>
      <c r="C160">
        <v>24.855210616855999</v>
      </c>
      <c r="D160" s="9">
        <v>102.695705895234</v>
      </c>
      <c r="E160" t="s">
        <v>47</v>
      </c>
      <c r="F160" t="s">
        <v>185</v>
      </c>
      <c r="G160" t="s">
        <v>62</v>
      </c>
      <c r="H160" t="s">
        <v>84</v>
      </c>
      <c r="I160" t="s">
        <v>134</v>
      </c>
      <c r="J160" t="s">
        <v>267</v>
      </c>
      <c r="K160" t="s">
        <v>267</v>
      </c>
      <c r="L160">
        <v>1</v>
      </c>
      <c r="M160">
        <v>17</v>
      </c>
      <c r="N160">
        <v>2001</v>
      </c>
      <c r="O160">
        <v>2018</v>
      </c>
      <c r="P160" t="s">
        <v>140</v>
      </c>
      <c r="Q160" s="152" t="s">
        <v>258</v>
      </c>
      <c r="R160" t="s">
        <v>264</v>
      </c>
      <c r="S160" t="s">
        <v>55</v>
      </c>
      <c r="U160" s="2"/>
      <c r="W160" t="s">
        <v>261</v>
      </c>
      <c r="X160" t="s">
        <v>59</v>
      </c>
      <c r="Y160" s="23" t="s">
        <v>436</v>
      </c>
    </row>
    <row r="161" spans="1:26" ht="15" customHeight="1">
      <c r="A161">
        <v>-6.4600000000000005E-2</v>
      </c>
      <c r="B161" t="s">
        <v>257</v>
      </c>
      <c r="C161">
        <v>24.855210616855999</v>
      </c>
      <c r="D161" s="9">
        <v>102.695705895234</v>
      </c>
      <c r="E161" t="s">
        <v>47</v>
      </c>
      <c r="F161" t="s">
        <v>185</v>
      </c>
      <c r="G161" t="s">
        <v>62</v>
      </c>
      <c r="H161" t="s">
        <v>84</v>
      </c>
      <c r="I161" t="s">
        <v>134</v>
      </c>
      <c r="J161" t="s">
        <v>268</v>
      </c>
      <c r="K161" t="s">
        <v>31</v>
      </c>
      <c r="L161">
        <v>1</v>
      </c>
      <c r="M161">
        <v>17</v>
      </c>
      <c r="N161">
        <v>2001</v>
      </c>
      <c r="O161">
        <v>2018</v>
      </c>
      <c r="P161" t="s">
        <v>140</v>
      </c>
      <c r="Q161" s="152" t="s">
        <v>258</v>
      </c>
      <c r="R161" t="s">
        <v>264</v>
      </c>
      <c r="S161" t="s">
        <v>55</v>
      </c>
      <c r="U161" s="2"/>
      <c r="W161" t="s">
        <v>261</v>
      </c>
      <c r="X161" t="s">
        <v>59</v>
      </c>
      <c r="Y161" s="23" t="s">
        <v>436</v>
      </c>
    </row>
    <row r="162" spans="1:26" ht="15" customHeight="1">
      <c r="A162">
        <v>-0.1101</v>
      </c>
      <c r="B162" t="s">
        <v>257</v>
      </c>
      <c r="C162">
        <v>24.855210616855999</v>
      </c>
      <c r="D162" s="9">
        <v>102.695705895234</v>
      </c>
      <c r="E162" t="s">
        <v>47</v>
      </c>
      <c r="F162" t="s">
        <v>185</v>
      </c>
      <c r="G162" t="s">
        <v>62</v>
      </c>
      <c r="H162" t="s">
        <v>84</v>
      </c>
      <c r="I162" t="s">
        <v>134</v>
      </c>
      <c r="J162" t="s">
        <v>187</v>
      </c>
      <c r="K162" t="s">
        <v>187</v>
      </c>
      <c r="L162">
        <v>1</v>
      </c>
      <c r="M162">
        <v>17</v>
      </c>
      <c r="N162">
        <v>2001</v>
      </c>
      <c r="O162">
        <v>2018</v>
      </c>
      <c r="P162" t="s">
        <v>140</v>
      </c>
      <c r="Q162" s="152" t="s">
        <v>258</v>
      </c>
      <c r="R162" t="s">
        <v>264</v>
      </c>
      <c r="S162" t="s">
        <v>55</v>
      </c>
      <c r="U162" s="2"/>
      <c r="W162" t="s">
        <v>261</v>
      </c>
      <c r="X162" t="s">
        <v>59</v>
      </c>
      <c r="Y162" s="23" t="s">
        <v>436</v>
      </c>
    </row>
    <row r="163" spans="1:26" ht="15" customHeight="1">
      <c r="A163">
        <v>6.3299999999999995E-2</v>
      </c>
      <c r="B163" t="s">
        <v>257</v>
      </c>
      <c r="C163">
        <v>24.855210616855999</v>
      </c>
      <c r="D163" s="9">
        <v>102.695705895234</v>
      </c>
      <c r="E163" t="s">
        <v>47</v>
      </c>
      <c r="F163" t="s">
        <v>185</v>
      </c>
      <c r="G163" t="s">
        <v>62</v>
      </c>
      <c r="H163" t="s">
        <v>84</v>
      </c>
      <c r="I163" t="s">
        <v>134</v>
      </c>
      <c r="J163" t="s">
        <v>269</v>
      </c>
      <c r="K163" t="s">
        <v>80</v>
      </c>
      <c r="L163">
        <v>1</v>
      </c>
      <c r="M163">
        <v>17</v>
      </c>
      <c r="N163">
        <v>2001</v>
      </c>
      <c r="O163">
        <v>2018</v>
      </c>
      <c r="P163" t="s">
        <v>140</v>
      </c>
      <c r="Q163" s="152" t="s">
        <v>258</v>
      </c>
      <c r="R163" t="s">
        <v>264</v>
      </c>
      <c r="S163" t="s">
        <v>55</v>
      </c>
      <c r="U163" s="2"/>
      <c r="W163" t="s">
        <v>261</v>
      </c>
      <c r="X163" t="s">
        <v>59</v>
      </c>
      <c r="Y163" s="23" t="s">
        <v>436</v>
      </c>
    </row>
    <row r="164" spans="1:26" ht="15" customHeight="1">
      <c r="A164">
        <v>3.9600000000000003E-2</v>
      </c>
      <c r="B164" t="s">
        <v>257</v>
      </c>
      <c r="C164">
        <v>24.855210616855999</v>
      </c>
      <c r="D164" s="9">
        <v>102.695705895234</v>
      </c>
      <c r="E164" t="s">
        <v>47</v>
      </c>
      <c r="F164" t="s">
        <v>185</v>
      </c>
      <c r="G164" t="s">
        <v>62</v>
      </c>
      <c r="H164" t="s">
        <v>84</v>
      </c>
      <c r="I164" t="s">
        <v>134</v>
      </c>
      <c r="J164" t="s">
        <v>270</v>
      </c>
      <c r="K164" t="s">
        <v>270</v>
      </c>
      <c r="L164">
        <v>1</v>
      </c>
      <c r="M164">
        <v>17</v>
      </c>
      <c r="N164">
        <v>2001</v>
      </c>
      <c r="O164">
        <v>2018</v>
      </c>
      <c r="P164" t="s">
        <v>140</v>
      </c>
      <c r="Q164" s="152" t="s">
        <v>258</v>
      </c>
      <c r="R164" t="s">
        <v>264</v>
      </c>
      <c r="S164" t="s">
        <v>55</v>
      </c>
      <c r="U164" s="2"/>
      <c r="W164" t="s">
        <v>261</v>
      </c>
      <c r="X164" t="s">
        <v>59</v>
      </c>
      <c r="Y164" s="23" t="s">
        <v>436</v>
      </c>
    </row>
    <row r="165" spans="1:26" ht="15" customHeight="1">
      <c r="A165" s="8">
        <v>4.2000000000000003E-2</v>
      </c>
      <c r="B165" s="8" t="s">
        <v>388</v>
      </c>
      <c r="C165" s="8">
        <v>27</v>
      </c>
      <c r="D165" s="8">
        <v>105</v>
      </c>
      <c r="E165" s="8" t="s">
        <v>37</v>
      </c>
      <c r="F165" s="8" t="s">
        <v>445</v>
      </c>
      <c r="G165" s="8" t="s">
        <v>62</v>
      </c>
      <c r="H165" s="8" t="s">
        <v>446</v>
      </c>
      <c r="I165" s="8" t="s">
        <v>30</v>
      </c>
      <c r="J165" s="8" t="s">
        <v>447</v>
      </c>
      <c r="K165" s="8" t="s">
        <v>40</v>
      </c>
      <c r="L165" s="8">
        <v>8</v>
      </c>
      <c r="M165" s="8">
        <v>17</v>
      </c>
      <c r="N165" s="8">
        <v>2001</v>
      </c>
      <c r="O165" s="8">
        <v>2018</v>
      </c>
      <c r="P165" s="8" t="s">
        <v>331</v>
      </c>
      <c r="Q165" s="8" t="s">
        <v>448</v>
      </c>
      <c r="R165" s="8" t="s">
        <v>449</v>
      </c>
      <c r="S165" s="41" t="s">
        <v>450</v>
      </c>
      <c r="T165" s="8" t="s">
        <v>451</v>
      </c>
      <c r="U165" s="29" t="s">
        <v>452</v>
      </c>
      <c r="V165" s="42"/>
      <c r="W165" s="8" t="s">
        <v>453</v>
      </c>
      <c r="X165" s="8" t="s">
        <v>335</v>
      </c>
      <c r="Y165" t="s">
        <v>219</v>
      </c>
    </row>
    <row r="166" spans="1:26" ht="15" customHeight="1">
      <c r="A166" s="188">
        <v>1.9E-2</v>
      </c>
      <c r="B166" s="8" t="s">
        <v>388</v>
      </c>
      <c r="C166" s="8">
        <v>27</v>
      </c>
      <c r="D166" s="8">
        <v>105</v>
      </c>
      <c r="E166" s="8" t="s">
        <v>37</v>
      </c>
      <c r="F166" s="8" t="s">
        <v>445</v>
      </c>
      <c r="G166" s="8" t="s">
        <v>62</v>
      </c>
      <c r="H166" s="8" t="s">
        <v>446</v>
      </c>
      <c r="I166" s="8" t="s">
        <v>30</v>
      </c>
      <c r="J166" s="8" t="s">
        <v>447</v>
      </c>
      <c r="K166" s="8" t="s">
        <v>155</v>
      </c>
      <c r="L166" s="8">
        <v>8</v>
      </c>
      <c r="M166" s="8">
        <v>17</v>
      </c>
      <c r="N166" s="8">
        <v>2001</v>
      </c>
      <c r="O166" s="8">
        <v>2018</v>
      </c>
      <c r="P166" s="8" t="s">
        <v>331</v>
      </c>
      <c r="Q166" s="8" t="s">
        <v>448</v>
      </c>
      <c r="R166" s="8" t="s">
        <v>449</v>
      </c>
      <c r="S166" s="41" t="s">
        <v>450</v>
      </c>
      <c r="T166" s="8" t="s">
        <v>451</v>
      </c>
      <c r="U166" s="29" t="s">
        <v>452</v>
      </c>
      <c r="V166" s="42"/>
      <c r="W166" s="8" t="s">
        <v>453</v>
      </c>
      <c r="X166" s="8" t="s">
        <v>335</v>
      </c>
      <c r="Y166" t="s">
        <v>219</v>
      </c>
    </row>
    <row r="167" spans="1:26" ht="15" customHeight="1">
      <c r="A167" s="8">
        <v>3.1E-2</v>
      </c>
      <c r="B167" s="8" t="s">
        <v>388</v>
      </c>
      <c r="C167" s="8">
        <v>27</v>
      </c>
      <c r="D167" s="8">
        <v>105</v>
      </c>
      <c r="E167" s="8" t="s">
        <v>37</v>
      </c>
      <c r="F167" s="8" t="s">
        <v>445</v>
      </c>
      <c r="G167" s="8" t="s">
        <v>62</v>
      </c>
      <c r="H167" s="8" t="s">
        <v>446</v>
      </c>
      <c r="I167" s="8" t="s">
        <v>30</v>
      </c>
      <c r="J167" s="8" t="s">
        <v>454</v>
      </c>
      <c r="K167" s="8" t="s">
        <v>40</v>
      </c>
      <c r="L167" s="8">
        <v>11</v>
      </c>
      <c r="M167" s="8">
        <v>17</v>
      </c>
      <c r="N167" s="8">
        <v>2001</v>
      </c>
      <c r="O167" s="8">
        <v>2018</v>
      </c>
      <c r="P167" s="8" t="s">
        <v>331</v>
      </c>
      <c r="Q167" s="8" t="s">
        <v>448</v>
      </c>
      <c r="R167" s="8" t="s">
        <v>449</v>
      </c>
      <c r="S167" s="41" t="s">
        <v>450</v>
      </c>
      <c r="T167" s="8" t="s">
        <v>451</v>
      </c>
      <c r="U167" s="29" t="s">
        <v>452</v>
      </c>
      <c r="V167" s="42"/>
      <c r="W167" s="8" t="s">
        <v>453</v>
      </c>
      <c r="X167" s="8" t="s">
        <v>335</v>
      </c>
      <c r="Y167" t="s">
        <v>219</v>
      </c>
    </row>
    <row r="168" spans="1:26" ht="15" customHeight="1">
      <c r="A168" s="188">
        <v>1E-3</v>
      </c>
      <c r="B168" s="8" t="s">
        <v>388</v>
      </c>
      <c r="C168" s="8">
        <v>27</v>
      </c>
      <c r="D168" s="8">
        <v>105</v>
      </c>
      <c r="E168" s="8" t="s">
        <v>37</v>
      </c>
      <c r="F168" s="8" t="s">
        <v>445</v>
      </c>
      <c r="G168" s="8" t="s">
        <v>62</v>
      </c>
      <c r="H168" s="8" t="s">
        <v>446</v>
      </c>
      <c r="I168" s="8" t="s">
        <v>30</v>
      </c>
      <c r="J168" s="8" t="s">
        <v>454</v>
      </c>
      <c r="K168" s="8" t="s">
        <v>155</v>
      </c>
      <c r="L168" s="8">
        <v>11</v>
      </c>
      <c r="M168" s="8">
        <v>17</v>
      </c>
      <c r="N168" s="8">
        <v>2001</v>
      </c>
      <c r="O168" s="8">
        <v>2018</v>
      </c>
      <c r="P168" s="8" t="s">
        <v>331</v>
      </c>
      <c r="Q168" s="8" t="s">
        <v>448</v>
      </c>
      <c r="R168" s="8" t="s">
        <v>449</v>
      </c>
      <c r="S168" s="41" t="s">
        <v>450</v>
      </c>
      <c r="T168" s="8" t="s">
        <v>451</v>
      </c>
      <c r="U168" s="29" t="s">
        <v>452</v>
      </c>
      <c r="V168" s="42"/>
      <c r="W168" s="8" t="s">
        <v>453</v>
      </c>
      <c r="X168" s="8" t="s">
        <v>335</v>
      </c>
      <c r="Y168" t="s">
        <v>219</v>
      </c>
    </row>
    <row r="169" spans="1:26" ht="14.4">
      <c r="A169" s="8">
        <v>0.1</v>
      </c>
      <c r="B169" s="8" t="s">
        <v>388</v>
      </c>
      <c r="C169" s="8">
        <v>27</v>
      </c>
      <c r="D169" s="8">
        <v>105</v>
      </c>
      <c r="E169" s="8" t="s">
        <v>37</v>
      </c>
      <c r="F169" s="8" t="s">
        <v>372</v>
      </c>
      <c r="G169" t="s">
        <v>62</v>
      </c>
      <c r="H169" s="8" t="s">
        <v>168</v>
      </c>
      <c r="I169" s="8" t="s">
        <v>30</v>
      </c>
      <c r="J169" s="8" t="s">
        <v>148</v>
      </c>
      <c r="K169" s="8" t="s">
        <v>40</v>
      </c>
      <c r="L169" s="8">
        <v>11</v>
      </c>
      <c r="M169" s="8">
        <v>16</v>
      </c>
      <c r="N169" s="8">
        <v>2001</v>
      </c>
      <c r="O169" s="8">
        <v>2017</v>
      </c>
      <c r="P169" s="8" t="s">
        <v>140</v>
      </c>
      <c r="Q169" s="9" t="s">
        <v>591</v>
      </c>
      <c r="R169" s="8" t="s">
        <v>592</v>
      </c>
      <c r="S169" s="8" t="s">
        <v>229</v>
      </c>
      <c r="T169" s="8"/>
      <c r="V169" t="s">
        <v>593</v>
      </c>
      <c r="X169" t="s">
        <v>219</v>
      </c>
      <c r="Y169" t="s">
        <v>335</v>
      </c>
    </row>
    <row r="170" spans="1:26" ht="14.4">
      <c r="A170" s="8">
        <v>5.8000000000000003E-2</v>
      </c>
      <c r="B170" s="8" t="s">
        <v>388</v>
      </c>
      <c r="C170" s="8">
        <v>27</v>
      </c>
      <c r="D170" s="8">
        <v>105</v>
      </c>
      <c r="E170" s="8" t="s">
        <v>37</v>
      </c>
      <c r="F170" s="8" t="s">
        <v>372</v>
      </c>
      <c r="G170" t="s">
        <v>62</v>
      </c>
      <c r="H170" s="8" t="s">
        <v>168</v>
      </c>
      <c r="I170" s="8" t="s">
        <v>30</v>
      </c>
      <c r="J170" s="8" t="s">
        <v>155</v>
      </c>
      <c r="K170" s="8" t="s">
        <v>155</v>
      </c>
      <c r="L170" s="8">
        <v>11</v>
      </c>
      <c r="M170" s="8">
        <v>16</v>
      </c>
      <c r="N170" s="8">
        <v>2001</v>
      </c>
      <c r="O170" s="8">
        <v>2017</v>
      </c>
      <c r="P170" s="8" t="s">
        <v>140</v>
      </c>
      <c r="Q170" s="9" t="s">
        <v>591</v>
      </c>
      <c r="R170" s="8" t="s">
        <v>592</v>
      </c>
      <c r="S170" s="8" t="s">
        <v>229</v>
      </c>
      <c r="T170" s="8"/>
      <c r="V170" t="s">
        <v>593</v>
      </c>
      <c r="X170" t="s">
        <v>219</v>
      </c>
      <c r="Y170" t="s">
        <v>335</v>
      </c>
    </row>
    <row r="171" spans="1:26" ht="15" customHeight="1">
      <c r="A171" s="23">
        <v>0.03</v>
      </c>
      <c r="B171" s="23" t="s">
        <v>257</v>
      </c>
      <c r="C171" s="124">
        <v>25</v>
      </c>
      <c r="D171" s="124">
        <v>103</v>
      </c>
      <c r="E171" t="s">
        <v>47</v>
      </c>
      <c r="F171" s="23" t="s">
        <v>513</v>
      </c>
      <c r="G171" t="s">
        <v>62</v>
      </c>
      <c r="H171" s="23" t="s">
        <v>514</v>
      </c>
      <c r="I171" s="23" t="s">
        <v>30</v>
      </c>
      <c r="J171" s="8" t="s">
        <v>40</v>
      </c>
      <c r="K171" t="s">
        <v>40</v>
      </c>
      <c r="L171" s="23">
        <v>1</v>
      </c>
      <c r="M171" s="8">
        <v>17</v>
      </c>
      <c r="N171" s="23">
        <v>2001</v>
      </c>
      <c r="O171" s="23">
        <v>2018</v>
      </c>
      <c r="P171" s="23" t="s">
        <v>387</v>
      </c>
      <c r="Q171" s="23" t="s">
        <v>515</v>
      </c>
      <c r="R171" s="23" t="s">
        <v>516</v>
      </c>
      <c r="S171" s="8" t="s">
        <v>55</v>
      </c>
      <c r="T171" s="23"/>
      <c r="U171" s="23"/>
      <c r="V171" s="23"/>
      <c r="W171" s="23" t="s">
        <v>517</v>
      </c>
      <c r="X171" s="23" t="s">
        <v>436</v>
      </c>
      <c r="Y171" s="23" t="s">
        <v>219</v>
      </c>
    </row>
    <row r="172" spans="1:26" ht="15" customHeight="1">
      <c r="A172" s="23">
        <v>0.02</v>
      </c>
      <c r="B172" s="23" t="s">
        <v>257</v>
      </c>
      <c r="C172" s="124">
        <v>25</v>
      </c>
      <c r="D172" s="124">
        <v>103</v>
      </c>
      <c r="E172" t="s">
        <v>47</v>
      </c>
      <c r="F172" s="23" t="s">
        <v>513</v>
      </c>
      <c r="G172" t="s">
        <v>62</v>
      </c>
      <c r="H172" s="23" t="s">
        <v>514</v>
      </c>
      <c r="I172" s="23" t="s">
        <v>30</v>
      </c>
      <c r="J172" s="8" t="s">
        <v>155</v>
      </c>
      <c r="K172" t="s">
        <v>40</v>
      </c>
      <c r="L172" s="23">
        <v>1</v>
      </c>
      <c r="M172" s="8">
        <v>17</v>
      </c>
      <c r="N172" s="23">
        <v>2001</v>
      </c>
      <c r="O172" s="23">
        <v>2018</v>
      </c>
      <c r="P172" s="23" t="s">
        <v>387</v>
      </c>
      <c r="Q172" s="23" t="s">
        <v>515</v>
      </c>
      <c r="R172" s="23" t="s">
        <v>516</v>
      </c>
      <c r="S172" s="8" t="s">
        <v>55</v>
      </c>
      <c r="T172" s="23"/>
      <c r="U172" s="23"/>
      <c r="V172" s="23"/>
      <c r="W172" s="23" t="s">
        <v>517</v>
      </c>
      <c r="X172" s="23" t="s">
        <v>436</v>
      </c>
      <c r="Y172" s="23" t="s">
        <v>219</v>
      </c>
    </row>
    <row r="173" spans="1:26" ht="15" customHeight="1">
      <c r="A173" s="8">
        <v>0.28999999999999998</v>
      </c>
      <c r="B173" s="8" t="s">
        <v>388</v>
      </c>
      <c r="C173" s="8">
        <v>26</v>
      </c>
      <c r="D173" s="8">
        <v>105</v>
      </c>
      <c r="E173" s="8" t="s">
        <v>37</v>
      </c>
      <c r="F173" s="8" t="s">
        <v>389</v>
      </c>
      <c r="G173" t="s">
        <v>62</v>
      </c>
      <c r="H173" s="8" t="s">
        <v>390</v>
      </c>
      <c r="I173" s="8" t="s">
        <v>30</v>
      </c>
      <c r="J173" s="8" t="s">
        <v>40</v>
      </c>
      <c r="K173" s="8" t="s">
        <v>40</v>
      </c>
      <c r="L173" s="8">
        <v>11</v>
      </c>
      <c r="M173" s="8">
        <v>18</v>
      </c>
      <c r="N173" s="8">
        <v>2001</v>
      </c>
      <c r="O173" s="8">
        <v>2019</v>
      </c>
      <c r="P173" s="8" t="s">
        <v>331</v>
      </c>
      <c r="Q173" s="8" t="s">
        <v>391</v>
      </c>
      <c r="R173" s="8" t="s">
        <v>392</v>
      </c>
      <c r="S173" s="41" t="s">
        <v>393</v>
      </c>
      <c r="T173" s="8"/>
      <c r="U173" s="8" t="s">
        <v>394</v>
      </c>
      <c r="W173" t="s">
        <v>395</v>
      </c>
      <c r="X173" t="s">
        <v>335</v>
      </c>
      <c r="Y173" t="s">
        <v>436</v>
      </c>
    </row>
    <row r="174" spans="1:26" s="72" customFormat="1" ht="15" customHeight="1">
      <c r="A174" s="85">
        <v>2.1999999999999999E-2</v>
      </c>
      <c r="B174" s="85" t="s">
        <v>257</v>
      </c>
      <c r="C174" s="85">
        <v>24.8371023262591</v>
      </c>
      <c r="D174" s="85">
        <v>102.710885587985</v>
      </c>
      <c r="E174" s="72" t="s">
        <v>47</v>
      </c>
      <c r="F174" s="85" t="s">
        <v>475</v>
      </c>
      <c r="G174" s="72" t="s">
        <v>28</v>
      </c>
      <c r="H174" s="85" t="s">
        <v>476</v>
      </c>
      <c r="I174" s="85" t="s">
        <v>30</v>
      </c>
      <c r="J174" s="85" t="s">
        <v>148</v>
      </c>
      <c r="K174" s="85" t="s">
        <v>40</v>
      </c>
      <c r="L174" s="85">
        <v>1</v>
      </c>
      <c r="M174" s="85">
        <f>O174-N174</f>
        <v>17</v>
      </c>
      <c r="N174" s="85">
        <v>2001</v>
      </c>
      <c r="O174" s="85">
        <v>2018</v>
      </c>
      <c r="P174" s="85" t="s">
        <v>226</v>
      </c>
      <c r="Q174" s="85" t="s">
        <v>477</v>
      </c>
      <c r="R174" s="85" t="s">
        <v>478</v>
      </c>
      <c r="S174" s="85" t="s">
        <v>362</v>
      </c>
      <c r="T174" s="85"/>
      <c r="U174" s="197" t="s">
        <v>479</v>
      </c>
      <c r="V174" s="85"/>
      <c r="W174" s="212" t="s">
        <v>474</v>
      </c>
      <c r="X174" s="85" t="s">
        <v>436</v>
      </c>
      <c r="Y174" s="72" t="s">
        <v>645</v>
      </c>
      <c r="Z174" s="72" t="s">
        <v>2393</v>
      </c>
    </row>
    <row r="175" spans="1:26" s="72" customFormat="1" ht="21" customHeight="1">
      <c r="A175" s="85">
        <v>2.1000000000000001E-2</v>
      </c>
      <c r="B175" s="85" t="s">
        <v>257</v>
      </c>
      <c r="C175" s="85">
        <v>24.8371023262591</v>
      </c>
      <c r="D175" s="85">
        <v>102.710885587985</v>
      </c>
      <c r="E175" s="72" t="s">
        <v>47</v>
      </c>
      <c r="F175" s="85" t="s">
        <v>475</v>
      </c>
      <c r="G175" s="72" t="s">
        <v>28</v>
      </c>
      <c r="H175" s="85" t="s">
        <v>476</v>
      </c>
      <c r="I175" s="85" t="s">
        <v>30</v>
      </c>
      <c r="J175" s="85" t="s">
        <v>155</v>
      </c>
      <c r="K175" s="85" t="s">
        <v>155</v>
      </c>
      <c r="L175" s="85">
        <v>1</v>
      </c>
      <c r="M175" s="85">
        <f>O175-N175</f>
        <v>17</v>
      </c>
      <c r="N175" s="85">
        <v>2001</v>
      </c>
      <c r="O175" s="85">
        <v>2018</v>
      </c>
      <c r="P175" s="85" t="s">
        <v>226</v>
      </c>
      <c r="Q175" s="85" t="s">
        <v>477</v>
      </c>
      <c r="R175" s="85" t="s">
        <v>478</v>
      </c>
      <c r="S175" s="85" t="s">
        <v>362</v>
      </c>
      <c r="T175" s="85"/>
      <c r="U175" s="85" t="s">
        <v>479</v>
      </c>
      <c r="V175" s="85"/>
      <c r="W175" s="85"/>
      <c r="X175" s="85" t="s">
        <v>436</v>
      </c>
      <c r="Y175" s="72" t="s">
        <v>645</v>
      </c>
    </row>
    <row r="176" spans="1:26" ht="15" customHeight="1">
      <c r="A176">
        <v>1.2E-2</v>
      </c>
      <c r="B176" t="s">
        <v>70</v>
      </c>
      <c r="C176">
        <v>31.675255626368699</v>
      </c>
      <c r="D176" s="9">
        <v>87.801174559325503</v>
      </c>
      <c r="E176" t="s">
        <v>37</v>
      </c>
      <c r="F176" t="s">
        <v>139</v>
      </c>
      <c r="G176" t="s">
        <v>62</v>
      </c>
      <c r="H176" t="s">
        <v>84</v>
      </c>
      <c r="I176" t="s">
        <v>30</v>
      </c>
      <c r="J176" t="s">
        <v>40</v>
      </c>
      <c r="K176" t="s">
        <v>40</v>
      </c>
      <c r="L176">
        <v>52</v>
      </c>
      <c r="M176">
        <v>11</v>
      </c>
      <c r="N176">
        <v>2001</v>
      </c>
      <c r="O176">
        <v>2012</v>
      </c>
      <c r="P176" t="s">
        <v>140</v>
      </c>
      <c r="Q176" s="14" t="s">
        <v>141</v>
      </c>
      <c r="R176" t="s">
        <v>142</v>
      </c>
      <c r="S176" t="s">
        <v>143</v>
      </c>
      <c r="T176" t="s">
        <v>2394</v>
      </c>
      <c r="U176" s="2" t="s">
        <v>145</v>
      </c>
      <c r="W176" t="s">
        <v>146</v>
      </c>
      <c r="X176" t="s">
        <v>59</v>
      </c>
      <c r="Y176" t="s">
        <v>645</v>
      </c>
    </row>
    <row r="177" spans="1:25" ht="15" customHeight="1">
      <c r="A177">
        <v>0.05</v>
      </c>
      <c r="B177" t="s">
        <v>158</v>
      </c>
      <c r="C177" s="8">
        <v>31.53</v>
      </c>
      <c r="D177" s="8">
        <v>117.52</v>
      </c>
      <c r="E177" t="s">
        <v>47</v>
      </c>
      <c r="F177" t="s">
        <v>159</v>
      </c>
      <c r="G177" t="s">
        <v>49</v>
      </c>
      <c r="H177" t="s">
        <v>84</v>
      </c>
      <c r="I177" t="s">
        <v>30</v>
      </c>
      <c r="J177" t="s">
        <v>40</v>
      </c>
      <c r="K177" t="s">
        <v>40</v>
      </c>
      <c r="L177">
        <v>1</v>
      </c>
      <c r="M177" s="8">
        <v>36</v>
      </c>
      <c r="N177">
        <v>1980</v>
      </c>
      <c r="O177">
        <v>2016</v>
      </c>
      <c r="P177" t="s">
        <v>140</v>
      </c>
      <c r="Q177" s="8" t="s">
        <v>160</v>
      </c>
      <c r="R177" t="s">
        <v>161</v>
      </c>
      <c r="S177" t="s">
        <v>162</v>
      </c>
      <c r="T177" t="s">
        <v>163</v>
      </c>
      <c r="U177" s="2" t="s">
        <v>164</v>
      </c>
      <c r="W177" t="s">
        <v>165</v>
      </c>
      <c r="X177" t="s">
        <v>59</v>
      </c>
      <c r="Y177" t="s">
        <v>335</v>
      </c>
    </row>
    <row r="178" spans="1:25" ht="15" customHeight="1">
      <c r="A178" s="190">
        <v>3.2800000000000003E-2</v>
      </c>
      <c r="B178" s="8" t="s">
        <v>398</v>
      </c>
      <c r="C178" s="8">
        <v>-48</v>
      </c>
      <c r="D178" s="8">
        <v>-73</v>
      </c>
      <c r="E178" s="8" t="s">
        <v>37</v>
      </c>
      <c r="F178" s="8" t="s">
        <v>399</v>
      </c>
      <c r="G178" t="s">
        <v>62</v>
      </c>
      <c r="H178" s="8" t="s">
        <v>400</v>
      </c>
      <c r="I178" s="182" t="s">
        <v>169</v>
      </c>
      <c r="J178" s="8" t="s">
        <v>40</v>
      </c>
      <c r="K178" s="8" t="s">
        <v>40</v>
      </c>
      <c r="L178" s="8">
        <v>6</v>
      </c>
      <c r="M178" s="8">
        <v>20</v>
      </c>
      <c r="N178" s="8">
        <v>2002</v>
      </c>
      <c r="O178" s="8">
        <v>2022</v>
      </c>
      <c r="P178" s="8" t="s">
        <v>226</v>
      </c>
      <c r="Q178" s="9" t="s">
        <v>401</v>
      </c>
      <c r="R178" s="8" t="s">
        <v>402</v>
      </c>
      <c r="S178" s="41" t="s">
        <v>397</v>
      </c>
      <c r="T178" s="8"/>
      <c r="U178" s="2" t="s">
        <v>403</v>
      </c>
      <c r="W178" t="s">
        <v>404</v>
      </c>
      <c r="X178" t="s">
        <v>335</v>
      </c>
      <c r="Y178" t="s">
        <v>219</v>
      </c>
    </row>
    <row r="179" spans="1:25" ht="15" customHeight="1">
      <c r="A179" s="190">
        <v>4.0300000000000002E-2</v>
      </c>
      <c r="B179" s="8" t="s">
        <v>398</v>
      </c>
      <c r="C179" s="8">
        <v>-48</v>
      </c>
      <c r="D179" s="8">
        <v>-73</v>
      </c>
      <c r="E179" s="8" t="s">
        <v>37</v>
      </c>
      <c r="F179" s="8" t="s">
        <v>399</v>
      </c>
      <c r="G179" t="s">
        <v>62</v>
      </c>
      <c r="H179" s="8" t="s">
        <v>400</v>
      </c>
      <c r="I179" s="182" t="s">
        <v>169</v>
      </c>
      <c r="J179" s="8" t="s">
        <v>129</v>
      </c>
      <c r="K179" s="8" t="s">
        <v>81</v>
      </c>
      <c r="L179" s="8">
        <v>6</v>
      </c>
      <c r="M179" s="8">
        <v>20</v>
      </c>
      <c r="N179" s="8">
        <v>2002</v>
      </c>
      <c r="O179" s="8">
        <v>2022</v>
      </c>
      <c r="P179" s="8" t="s">
        <v>226</v>
      </c>
      <c r="Q179" s="9" t="s">
        <v>401</v>
      </c>
      <c r="R179" s="8" t="s">
        <v>402</v>
      </c>
      <c r="S179" s="41" t="s">
        <v>397</v>
      </c>
      <c r="T179" s="8"/>
      <c r="U179" s="2" t="s">
        <v>403</v>
      </c>
      <c r="W179" t="s">
        <v>404</v>
      </c>
      <c r="X179" t="s">
        <v>335</v>
      </c>
      <c r="Y179" t="s">
        <v>219</v>
      </c>
    </row>
    <row r="180" spans="1:25" ht="15" customHeight="1">
      <c r="A180" s="190">
        <v>2.5399999999999999E-2</v>
      </c>
      <c r="B180" s="8" t="s">
        <v>398</v>
      </c>
      <c r="C180" s="8">
        <v>-48</v>
      </c>
      <c r="D180" s="8">
        <v>-73</v>
      </c>
      <c r="E180" s="8" t="s">
        <v>37</v>
      </c>
      <c r="F180" s="8" t="s">
        <v>399</v>
      </c>
      <c r="G180" t="s">
        <v>62</v>
      </c>
      <c r="H180" s="8" t="s">
        <v>400</v>
      </c>
      <c r="I180" s="182" t="s">
        <v>169</v>
      </c>
      <c r="J180" s="8" t="s">
        <v>129</v>
      </c>
      <c r="K180" s="8" t="s">
        <v>31</v>
      </c>
      <c r="L180" s="8">
        <v>6</v>
      </c>
      <c r="M180" s="8">
        <v>20</v>
      </c>
      <c r="N180" s="8">
        <v>2002</v>
      </c>
      <c r="O180" s="8">
        <v>2022</v>
      </c>
      <c r="P180" s="8" t="s">
        <v>226</v>
      </c>
      <c r="Q180" s="9" t="s">
        <v>401</v>
      </c>
      <c r="R180" s="8" t="s">
        <v>402</v>
      </c>
      <c r="S180" s="41" t="s">
        <v>397</v>
      </c>
      <c r="T180" s="8"/>
      <c r="U180" s="2" t="s">
        <v>403</v>
      </c>
      <c r="W180" t="s">
        <v>404</v>
      </c>
      <c r="X180" t="s">
        <v>335</v>
      </c>
      <c r="Y180" t="s">
        <v>219</v>
      </c>
    </row>
    <row r="181" spans="1:25" ht="15" customHeight="1">
      <c r="A181" s="190">
        <v>3.1800000000000002E-2</v>
      </c>
      <c r="B181" s="8" t="s">
        <v>398</v>
      </c>
      <c r="C181" s="8">
        <v>-48</v>
      </c>
      <c r="D181" s="8">
        <v>-73</v>
      </c>
      <c r="E181" s="8" t="s">
        <v>37</v>
      </c>
      <c r="F181" s="8" t="s">
        <v>399</v>
      </c>
      <c r="G181" t="s">
        <v>62</v>
      </c>
      <c r="H181" s="8" t="s">
        <v>400</v>
      </c>
      <c r="I181" s="182" t="s">
        <v>169</v>
      </c>
      <c r="J181" s="8" t="s">
        <v>129</v>
      </c>
      <c r="K181" s="8" t="s">
        <v>80</v>
      </c>
      <c r="L181" s="8">
        <v>6</v>
      </c>
      <c r="M181" s="8">
        <v>20</v>
      </c>
      <c r="N181" s="8">
        <v>2002</v>
      </c>
      <c r="O181" s="8">
        <v>2022</v>
      </c>
      <c r="P181" s="8" t="s">
        <v>226</v>
      </c>
      <c r="Q181" s="9" t="s">
        <v>401</v>
      </c>
      <c r="R181" s="8" t="s">
        <v>402</v>
      </c>
      <c r="S181" s="41" t="s">
        <v>397</v>
      </c>
      <c r="T181" s="8"/>
      <c r="U181" s="2" t="s">
        <v>403</v>
      </c>
      <c r="W181" t="s">
        <v>404</v>
      </c>
      <c r="X181" t="s">
        <v>335</v>
      </c>
      <c r="Y181" t="s">
        <v>219</v>
      </c>
    </row>
    <row r="182" spans="1:25" ht="15" customHeight="1">
      <c r="A182" s="8">
        <v>2.5999999999999999E-2</v>
      </c>
      <c r="B182" s="8" t="s">
        <v>398</v>
      </c>
      <c r="C182" s="8">
        <v>-48</v>
      </c>
      <c r="D182" s="8">
        <v>-73</v>
      </c>
      <c r="E182" s="8" t="s">
        <v>37</v>
      </c>
      <c r="F182" s="8" t="s">
        <v>399</v>
      </c>
      <c r="G182" t="s">
        <v>62</v>
      </c>
      <c r="H182" s="8" t="s">
        <v>400</v>
      </c>
      <c r="I182" s="182" t="s">
        <v>169</v>
      </c>
      <c r="J182" s="8" t="s">
        <v>129</v>
      </c>
      <c r="K182" s="8" t="s">
        <v>73</v>
      </c>
      <c r="L182" s="8">
        <v>6</v>
      </c>
      <c r="M182" s="8">
        <v>20</v>
      </c>
      <c r="N182" s="8">
        <v>2002</v>
      </c>
      <c r="O182" s="8">
        <v>2022</v>
      </c>
      <c r="P182" s="8" t="s">
        <v>226</v>
      </c>
      <c r="Q182" s="9" t="s">
        <v>401</v>
      </c>
      <c r="R182" s="8" t="s">
        <v>402</v>
      </c>
      <c r="S182" s="41" t="s">
        <v>397</v>
      </c>
      <c r="T182" s="8"/>
      <c r="U182" s="2" t="s">
        <v>403</v>
      </c>
      <c r="W182" t="s">
        <v>404</v>
      </c>
      <c r="X182" t="s">
        <v>335</v>
      </c>
      <c r="Y182" t="s">
        <v>219</v>
      </c>
    </row>
    <row r="183" spans="1:25" ht="15" customHeight="1">
      <c r="A183" s="8">
        <v>0.01</v>
      </c>
      <c r="B183" s="8" t="s">
        <v>257</v>
      </c>
      <c r="C183" s="8">
        <v>24.83</v>
      </c>
      <c r="D183" s="8">
        <v>102.69</v>
      </c>
      <c r="E183" s="8" t="s">
        <v>47</v>
      </c>
      <c r="F183" s="8" t="s">
        <v>405</v>
      </c>
      <c r="G183" s="8" t="s">
        <v>62</v>
      </c>
      <c r="H183" s="8" t="s">
        <v>390</v>
      </c>
      <c r="I183" s="8" t="s">
        <v>30</v>
      </c>
      <c r="J183" s="8" t="s">
        <v>148</v>
      </c>
      <c r="K183" s="8" t="s">
        <v>40</v>
      </c>
      <c r="L183" s="8">
        <v>1</v>
      </c>
      <c r="M183" s="8">
        <v>17</v>
      </c>
      <c r="N183" s="8">
        <v>2001</v>
      </c>
      <c r="O183" s="8">
        <v>2018</v>
      </c>
      <c r="P183" s="8" t="s">
        <v>226</v>
      </c>
      <c r="Q183" s="8" t="s">
        <v>406</v>
      </c>
      <c r="R183" s="8" t="s">
        <v>407</v>
      </c>
      <c r="S183" s="41" t="s">
        <v>408</v>
      </c>
      <c r="T183" s="8"/>
      <c r="U183" s="179" t="s">
        <v>409</v>
      </c>
      <c r="W183" t="s">
        <v>69</v>
      </c>
      <c r="X183" t="s">
        <v>335</v>
      </c>
      <c r="Y183" t="s">
        <v>436</v>
      </c>
    </row>
    <row r="184" spans="1:25" ht="15" customHeight="1">
      <c r="A184" s="8">
        <v>0.02</v>
      </c>
      <c r="B184" s="8" t="s">
        <v>257</v>
      </c>
      <c r="C184" s="8">
        <v>24.83</v>
      </c>
      <c r="D184" s="8">
        <v>102.69</v>
      </c>
      <c r="E184" s="8" t="s">
        <v>47</v>
      </c>
      <c r="F184" s="8" t="s">
        <v>405</v>
      </c>
      <c r="G184" s="8" t="s">
        <v>62</v>
      </c>
      <c r="H184" s="8" t="s">
        <v>390</v>
      </c>
      <c r="I184" s="8" t="s">
        <v>30</v>
      </c>
      <c r="J184" s="8" t="s">
        <v>155</v>
      </c>
      <c r="K184" s="8" t="s">
        <v>155</v>
      </c>
      <c r="L184" s="8">
        <v>1</v>
      </c>
      <c r="M184" s="8">
        <v>17</v>
      </c>
      <c r="N184" s="8">
        <v>2001</v>
      </c>
      <c r="O184" s="8">
        <v>2018</v>
      </c>
      <c r="P184" s="8" t="s">
        <v>226</v>
      </c>
      <c r="Q184" s="8" t="s">
        <v>406</v>
      </c>
      <c r="R184" s="8" t="s">
        <v>407</v>
      </c>
      <c r="S184" s="41" t="s">
        <v>408</v>
      </c>
      <c r="T184" s="8"/>
      <c r="U184" s="179" t="s">
        <v>409</v>
      </c>
      <c r="W184" t="s">
        <v>69</v>
      </c>
      <c r="X184" t="s">
        <v>335</v>
      </c>
      <c r="Y184" t="s">
        <v>436</v>
      </c>
    </row>
    <row r="185" spans="1:25" s="72" customFormat="1" ht="15" customHeight="1">
      <c r="A185" s="72">
        <v>4.3999999999999997E-2</v>
      </c>
      <c r="B185" s="72" t="s">
        <v>101</v>
      </c>
      <c r="C185" s="213">
        <v>40.935926240289902</v>
      </c>
      <c r="D185" s="82">
        <v>-29.1249950500738</v>
      </c>
      <c r="E185" s="72" t="s">
        <v>37</v>
      </c>
      <c r="F185" s="72" t="s">
        <v>102</v>
      </c>
      <c r="G185" s="72" t="s">
        <v>103</v>
      </c>
      <c r="H185" s="72" t="s">
        <v>29</v>
      </c>
      <c r="I185" s="72" t="s">
        <v>30</v>
      </c>
      <c r="J185" s="72" t="s">
        <v>31</v>
      </c>
      <c r="K185" s="72" t="s">
        <v>31</v>
      </c>
      <c r="L185" s="72">
        <v>345</v>
      </c>
      <c r="M185" s="72">
        <f>O185-N185</f>
        <v>38</v>
      </c>
      <c r="N185" s="72">
        <v>1979</v>
      </c>
      <c r="O185" s="72">
        <v>2017</v>
      </c>
      <c r="Q185" s="202" t="s">
        <v>104</v>
      </c>
      <c r="R185" s="72" t="s">
        <v>105</v>
      </c>
      <c r="S185" s="72" t="s">
        <v>106</v>
      </c>
      <c r="T185" s="72" t="s">
        <v>107</v>
      </c>
      <c r="U185" s="197" t="s">
        <v>108</v>
      </c>
      <c r="X185" s="72" t="s">
        <v>35</v>
      </c>
    </row>
  </sheetData>
  <autoFilter ref="A1:Y185" xr:uid="{40F8BCA6-36F3-4FD7-AF56-A5322AF41897}">
    <sortState xmlns:xlrd2="http://schemas.microsoft.com/office/spreadsheetml/2017/richdata2" ref="A2:Y185">
      <sortCondition ref="Q2:Q185"/>
    </sortState>
  </autoFilter>
  <dataValidations count="6">
    <dataValidation allowBlank="1" showInputMessage="1" showErrorMessage="1" sqref="I2:I39 I43 I45:I50 I52:I60 I65:I149 I155:I159 I162:I1048576" xr:uid="{F238FEA8-C983-4640-8C7D-74E3F8D6223E}"/>
    <dataValidation type="list" allowBlank="1" showInputMessage="1" showErrorMessage="1" sqref="H146:H147 H86:H90" xr:uid="{A556B100-45A6-4B42-8ADB-B1C2E69770A5}">
      <formula1>"satellite, in situ, modelled, sallite and in situ, modelled and in situ"</formula1>
    </dataValidation>
    <dataValidation type="list" allowBlank="1" showInputMessage="1" showErrorMessage="1" sqref="M87:M90 M146:M147 O86" xr:uid="{FD0D3473-3140-4287-82D2-CE40DD5C8169}">
      <formula1>"annual, spring, summer, winter, autumn"</formula1>
    </dataValidation>
    <dataValidation type="list" allowBlank="1" showInputMessage="1" showErrorMessage="1" sqref="E1:E39 E43 E45:E50 E52:E60 E65:E149 E162:E1048576" xr:uid="{BE3EEAB3-54E7-411D-8084-BE284652E7B8}">
      <formula1>"global, region, point"</formula1>
    </dataValidation>
    <dataValidation type="list" allowBlank="1" showInputMessage="1" showErrorMessage="1" sqref="K1:K171 K173:K1048576" xr:uid="{AA630A61-F8C4-419A-AB61-018BB3607771}">
      <formula1>"annual, annual (night), summer, summer (night), autumn, autumn (night), winter, winter (night), spring, spring (night)"</formula1>
    </dataValidation>
    <dataValidation type="list" allowBlank="1" showInputMessage="1" showErrorMessage="1" sqref="G1:G1048576" xr:uid="{CFDC194C-B37F-4D66-A8D0-CCACD779758B}">
      <formula1>"satellite, in situ, modelled, modelled and in situ, satellite and in situ"</formula1>
    </dataValidation>
  </dataValidations>
  <hyperlinks>
    <hyperlink ref="U37" r:id="rId1" xr:uid="{042425B3-DEA0-4398-AB5F-3AA87ABFD19F}"/>
    <hyperlink ref="U45" r:id="rId2" xr:uid="{B0695755-A2D1-40C1-8C3C-092A6EA42754}"/>
    <hyperlink ref="U105" r:id="rId3" xr:uid="{F26E3FFD-D071-4BCE-96DE-AAE2513C10AB}"/>
    <hyperlink ref="U185" r:id="rId4" xr:uid="{40E5D700-9B44-4CEB-91CA-EA054640F071}"/>
    <hyperlink ref="U102" r:id="rId5" xr:uid="{7FA58F91-B1F5-45A1-8257-03490090D552}"/>
    <hyperlink ref="U155" r:id="rId6" xr:uid="{8FDFF075-8771-45F6-9753-552BF1952895}"/>
    <hyperlink ref="U126" r:id="rId7" xr:uid="{FC0A4293-0E3C-4893-A305-FC5D70B2BD35}"/>
    <hyperlink ref="U79" r:id="rId8" location="B23-resources-13-00149" xr:uid="{8E626A9A-981E-4D3F-A93E-75EB2CBFBBD7}"/>
    <hyperlink ref="U106" r:id="rId9" xr:uid="{DCE4DC13-7EB5-43A4-AB6C-1E33D185A2FE}"/>
    <hyperlink ref="U127" r:id="rId10" xr:uid="{AB27AC42-38D9-4DBF-B576-60AF017D9716}"/>
    <hyperlink ref="U176" r:id="rId11" xr:uid="{3F8A6989-96FE-44CD-AF88-3CE74ECF75EC}"/>
    <hyperlink ref="U153" r:id="rId12" xr:uid="{356C64D0-1DF4-4EDF-93DD-922575AA5CB9}"/>
    <hyperlink ref="U103" r:id="rId13" xr:uid="{EB4B5330-F5C4-4B59-A378-15853C805ED0}"/>
    <hyperlink ref="U177" r:id="rId14" xr:uid="{8780D090-FDCB-409A-8778-4F3D88671B7F}"/>
    <hyperlink ref="U18" r:id="rId15" xr:uid="{8774391A-F33E-4849-950E-5426FD4B6AA0}"/>
    <hyperlink ref="U19" r:id="rId16" xr:uid="{489BBCCF-D0F0-4FE9-BAC5-ECC5506091A0}"/>
    <hyperlink ref="U20" r:id="rId17" xr:uid="{E3C11062-C7BE-4312-85A1-8EE9B4A331C1}"/>
    <hyperlink ref="U146" r:id="rId18" xr:uid="{B892F9F3-47E9-44C1-8665-A5E113728CA0}"/>
    <hyperlink ref="U147" r:id="rId19" xr:uid="{D7FA64CE-A595-41FD-ACBB-386D75264098}"/>
    <hyperlink ref="U46" r:id="rId20" xr:uid="{F8DA3639-D336-4B10-B558-57FCECF8D137}"/>
    <hyperlink ref="U77" r:id="rId21" xr:uid="{DA08615D-B56E-4CDE-837C-8719512B8E7E}"/>
    <hyperlink ref="U78" r:id="rId22" xr:uid="{D3E92D4D-E9E1-48F2-9C85-BF4176A68FE9}"/>
    <hyperlink ref="U95" r:id="rId23" xr:uid="{A6E5D294-9CE2-4B23-B8BB-4C639949C889}"/>
    <hyperlink ref="U32" r:id="rId24" xr:uid="{D9932162-ED6B-47DB-B995-F7439544F32F}"/>
    <hyperlink ref="U114" r:id="rId25" xr:uid="{2985CF8C-8733-455A-96E4-F43A347C01DC}"/>
    <hyperlink ref="U29" r:id="rId26" xr:uid="{EA5E0A03-FD2C-4C8F-8B7F-E5ABA84CA771}"/>
    <hyperlink ref="U86" r:id="rId27" xr:uid="{B53B16B4-E643-49E3-B79B-2651E8737102}"/>
    <hyperlink ref="U90" r:id="rId28" xr:uid="{098AC22C-797C-47A3-94A2-4ED3EF4426B8}"/>
    <hyperlink ref="U87" r:id="rId29" xr:uid="{79BC9233-EA4A-411E-98BC-56E906AEC4E5}"/>
    <hyperlink ref="U88" r:id="rId30" xr:uid="{176FB1E3-BA98-479E-BA1A-A325CBA3F32B}"/>
    <hyperlink ref="U89" r:id="rId31" xr:uid="{11440685-69D5-47B8-A3E4-5203D183A136}"/>
    <hyperlink ref="U7" r:id="rId32" xr:uid="{8BC08110-34F3-443B-8FFE-62F9EE449D7C}"/>
    <hyperlink ref="U109" r:id="rId33" xr:uid="{281C0DC6-CA08-4119-8F3E-116D84101035}"/>
    <hyperlink ref="U145" r:id="rId34" xr:uid="{A0F86B37-970A-4CA6-B8C4-B7FA8D36D38C}"/>
    <hyperlink ref="U125" r:id="rId35" xr:uid="{9D210BC9-986C-485D-B92F-0353FFE7A8CC}"/>
    <hyperlink ref="U124" r:id="rId36" xr:uid="{9480EB5C-6513-4862-BC98-6310611CF4A2}"/>
    <hyperlink ref="U123" r:id="rId37" xr:uid="{2E51EF22-A255-4B99-AF5C-3CC33E3FC28F}"/>
    <hyperlink ref="U122" r:id="rId38" xr:uid="{6F82B0B6-E0B4-48D1-8E40-329C9C4590B7}"/>
    <hyperlink ref="U24" r:id="rId39" xr:uid="{3D253AE5-0721-4AA8-8765-34E245B0E5D9}"/>
    <hyperlink ref="U11" r:id="rId40" display="Validation and Trend Analysis of Satellite-Derived Surface Water Temperature Observations Over Adirondack Lakes by Marzi Azarderakhsh, Carolien Mossel, Fahmeda Khanom, Aisha Malik, Abdou Bah, Jonathan Borrelli, Hamid Norouzi, Peter McIntyre, Kevin Rose :: SSRN" xr:uid="{0B8D944B-5AE8-4FF8-AC61-5595C7941076}"/>
    <hyperlink ref="U144" r:id="rId41" xr:uid="{E0DEECD2-0BB2-45E1-8BB2-931931D316D8}"/>
    <hyperlink ref="U8" r:id="rId42" xr:uid="{DF5A1567-6EFE-42F0-AC64-8C090DFD241D}"/>
    <hyperlink ref="U9" r:id="rId43" xr:uid="{17AFA6D5-4ACC-42BC-9038-58F15FCF5B2B}"/>
    <hyperlink ref="U10" r:id="rId44" xr:uid="{2CE5AF6D-D1BE-4449-A976-7A59EB8F27DE}"/>
    <hyperlink ref="U115" r:id="rId45" xr:uid="{0ED4D398-F848-4DA0-90C8-78FAFD064B6B}"/>
    <hyperlink ref="U116" r:id="rId46" xr:uid="{AB48AAEB-7FE0-4190-A8C3-A76A6DB0E933}"/>
    <hyperlink ref="U107" r:id="rId47" xr:uid="{D5E11242-0619-4945-92CE-A3E255FEF47E}"/>
    <hyperlink ref="U108" r:id="rId48" xr:uid="{A3787C1B-F5CA-4501-8307-29924E1634D5}"/>
    <hyperlink ref="U21" r:id="rId49" xr:uid="{3FAD838D-AED5-4C6D-A934-878E434D5340}"/>
    <hyperlink ref="U6" r:id="rId50" xr:uid="{16710F04-054F-415C-A99A-5ADDA5D72D79}"/>
    <hyperlink ref="U49" r:id="rId51" location="abstract" xr:uid="{480BD9D3-E993-4E4C-A4D9-F84D9FA72A1E}"/>
    <hyperlink ref="U81" r:id="rId52" xr:uid="{9A5F8087-B6B4-4B4F-9225-4A7FC875333B}"/>
    <hyperlink ref="U56" r:id="rId53" xr:uid="{26AE820F-296D-497B-9B82-5F9CB5290612}"/>
    <hyperlink ref="U142" r:id="rId54" xr:uid="{5F73CDDC-A764-469F-B5C6-8F0FD3873D04}"/>
    <hyperlink ref="U40" r:id="rId55" xr:uid="{FEB3F358-D068-4966-8B37-FD8576AF3CDF}"/>
    <hyperlink ref="U50" r:id="rId56" location="abstract" xr:uid="{9F465F6F-B176-4352-9020-5E75E9208E14}"/>
    <hyperlink ref="U178" r:id="rId57" xr:uid="{1AD8482B-88A0-4AA3-BC22-5CEE025BFC2F}"/>
    <hyperlink ref="U183" r:id="rId58" xr:uid="{E2BFF8D9-141F-4B81-82C4-449E214CDC31}"/>
    <hyperlink ref="U184" r:id="rId59" xr:uid="{5C2E7AC4-A032-474B-B544-12E2F8387D05}"/>
    <hyperlink ref="U42" r:id="rId60" xr:uid="{2E3E9C6A-C081-49AA-88FF-97CB8AEBB1DC}"/>
    <hyperlink ref="U91" r:id="rId61" xr:uid="{9DB4A212-6012-43A5-8F72-3E375D0F4837}"/>
    <hyperlink ref="U93" r:id="rId62" xr:uid="{0D2FBDB2-0C73-4BC4-AFE8-B19D5D959A26}"/>
    <hyperlink ref="U26" r:id="rId63" xr:uid="{A3C4D731-F627-4B32-B8A4-9B2B99312224}"/>
    <hyperlink ref="U3" r:id="rId64" xr:uid="{EA63AA76-B04C-4391-9314-77C856B907A9}"/>
    <hyperlink ref="U4" r:id="rId65" xr:uid="{5D1B5134-0666-4AAB-8509-0E343A4CA98D}"/>
    <hyperlink ref="U5" r:id="rId66" xr:uid="{D6906C08-E28D-42C0-A6AF-FC2F078930A2}"/>
    <hyperlink ref="U31" r:id="rId67" xr:uid="{C680814D-4D0F-4E8B-BBDA-9ECE6197A6D8}"/>
    <hyperlink ref="U2" r:id="rId68" xr:uid="{0D069944-8F49-4930-92C5-FA7BD208A5CE}"/>
    <hyperlink ref="U57" r:id="rId69" xr:uid="{EE2DAF65-7F8B-45DB-A8F4-46D1130B5FE4}"/>
    <hyperlink ref="U58" r:id="rId70" xr:uid="{5F85099E-E94D-4DC9-BC85-5CD6C2703E58}"/>
    <hyperlink ref="U59" r:id="rId71" xr:uid="{87D08C9A-5D17-4C11-94A0-BA0D01200796}"/>
    <hyperlink ref="U60" r:id="rId72" xr:uid="{1BE0646B-BC7D-4568-828B-25762D35A34B}"/>
    <hyperlink ref="U61" r:id="rId73" xr:uid="{040C19B0-95DF-4F41-B06F-2F21EF3EF040}"/>
    <hyperlink ref="U62" r:id="rId74" xr:uid="{3743F9F2-973E-4D32-B7A8-E5557DDDFFC3}"/>
    <hyperlink ref="U63" r:id="rId75" xr:uid="{1EFC5B69-D407-4518-B2D3-D47F920D6EE0}"/>
    <hyperlink ref="U64" r:id="rId76" xr:uid="{DDD12BD0-CD47-48D9-9586-09218325F857}"/>
    <hyperlink ref="U12" r:id="rId77" xr:uid="{6888C8F7-12A9-4257-BA62-542106275B9C}"/>
    <hyperlink ref="U120" r:id="rId78" xr:uid="{40E12FD1-7DBF-4950-8C78-D3789E225437}"/>
    <hyperlink ref="U121" r:id="rId79" xr:uid="{5C085C0A-52BC-4CD2-B561-1EFFAA6C30AF}"/>
    <hyperlink ref="U33" r:id="rId80" xr:uid="{F34BF667-A77A-4CFD-84E8-6BE0629AC30F}"/>
    <hyperlink ref="U34" r:id="rId81" xr:uid="{D77EF41F-ECE3-4A81-9C24-280507F111DD}"/>
    <hyperlink ref="U35" r:id="rId82" xr:uid="{3B76F483-BCCC-4419-BDFB-D764359C87F6}"/>
    <hyperlink ref="U36" r:id="rId83" xr:uid="{7DEAD099-60CD-40DC-93A8-48DBEF261849}"/>
    <hyperlink ref="U80" r:id="rId84" location="B23-resources-13-00149" xr:uid="{FAFAFC54-F16E-4570-ADAB-A07286BDFD0D}"/>
    <hyperlink ref="U154" r:id="rId85" xr:uid="{1D80A88E-0EB8-4367-A65F-5707247ABF23}"/>
    <hyperlink ref="U110" r:id="rId86" xr:uid="{5F2BA86E-7AB5-4F4A-B929-3D816C959A91}"/>
    <hyperlink ref="U174" r:id="rId87" xr:uid="{87B6EB2A-C6D1-4584-BF52-76AD56FF0637}"/>
    <hyperlink ref="U128" r:id="rId88" xr:uid="{545E5A48-C475-4482-B3DF-E3C1BE1B71EF}"/>
    <hyperlink ref="U129" r:id="rId89" xr:uid="{A5B119EE-4670-4C89-8CA6-B0A9C2A7E86B}"/>
    <hyperlink ref="U130" r:id="rId90" xr:uid="{E7627C92-3B6E-4487-B987-B4CD609AE555}"/>
    <hyperlink ref="U131" r:id="rId91" xr:uid="{BE1ED1BF-CE21-4501-8A0F-1A05B5A5EB49}"/>
    <hyperlink ref="U132" r:id="rId92" xr:uid="{FB634DB0-C2E7-4091-B9FF-AC29EF0271C1}"/>
    <hyperlink ref="U133" r:id="rId93" xr:uid="{BE7E1B98-845D-4A54-ABFC-38D2FEA15EB8}"/>
    <hyperlink ref="U38" r:id="rId94" xr:uid="{296BB857-8C74-441C-967C-54818CE6F881}"/>
    <hyperlink ref="U39" r:id="rId95" xr:uid="{C917EDF7-0867-4D74-8221-9E2CCC9E8D31}"/>
    <hyperlink ref="U92" r:id="rId96" xr:uid="{7BD3F1E3-1B7D-40DF-9089-7138D787C585}"/>
    <hyperlink ref="U165" r:id="rId97" xr:uid="{A5F53918-B5C1-45D2-8CD0-20BEAF2767DB}"/>
    <hyperlink ref="U166" r:id="rId98" xr:uid="{BECEBDE3-F7DC-4BD1-A20D-079D3C9CA8F7}"/>
    <hyperlink ref="U167" r:id="rId99" xr:uid="{50F0BA96-E658-497E-9367-2AB4555EB4D3}"/>
    <hyperlink ref="U168" r:id="rId100" xr:uid="{1ADEB90F-3CEE-4164-B8CD-8C80308F00B2}"/>
    <hyperlink ref="U179" r:id="rId101" xr:uid="{46C87895-19EE-461C-853D-DF45661BFD14}"/>
    <hyperlink ref="U180" r:id="rId102" xr:uid="{842DAC05-AE14-4A37-BE5F-BC1142B5DEB7}"/>
    <hyperlink ref="U181" r:id="rId103" xr:uid="{1F72CF43-A9D0-44DE-B1ED-EE7C72E9C622}"/>
    <hyperlink ref="U182" r:id="rId104" xr:uid="{0DE6F531-D931-42E6-AFF1-E09B4851A93E}"/>
    <hyperlink ref="U155:U159" r:id="rId105" display="https://doi.org/10.3390/resources12090107" xr:uid="{30935291-CFD7-451F-88A8-0982F34A3908}"/>
    <hyperlink ref="U28" r:id="rId106" xr:uid="{F277931F-13D3-44CA-A86D-26E4BFBD2788}"/>
    <hyperlink ref="U82" r:id="rId107" xr:uid="{7CEB1DED-787D-47AB-B9C3-ABC93858E353}"/>
    <hyperlink ref="U83" r:id="rId108" xr:uid="{E68B60A9-5A09-415E-9444-7A75C42F6F90}"/>
    <hyperlink ref="U84" r:id="rId109" xr:uid="{75058091-1210-4488-B98B-751313211ED0}"/>
    <hyperlink ref="U85" r:id="rId110" xr:uid="{180FD6C3-6673-4F65-ABBB-1345FFC1F68B}"/>
    <hyperlink ref="U104" r:id="rId111" xr:uid="{51B530F7-C9A6-4E70-A9B9-56A297B74AF8}"/>
    <hyperlink ref="U14" r:id="rId112" xr:uid="{EB0DE28E-3864-45DB-9D24-D8CD85D7B34F}"/>
  </hyperlinks>
  <pageMargins left="0.7" right="0.7" top="0.75" bottom="0.75" header="0.3" footer="0.3"/>
  <legacyDrawing r:id="rId1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A0EB-CF60-4F72-B895-4340202C78C6}">
  <dimension ref="A1:F31"/>
  <sheetViews>
    <sheetView workbookViewId="0">
      <selection activeCell="A5" sqref="A5"/>
    </sheetView>
  </sheetViews>
  <sheetFormatPr defaultRowHeight="15" customHeight="1"/>
  <cols>
    <col min="1" max="1" width="51.41796875" customWidth="1"/>
    <col min="2" max="2" width="30.83984375" bestFit="1" customWidth="1"/>
    <col min="3" max="3" width="26" bestFit="1" customWidth="1"/>
  </cols>
  <sheetData>
    <row r="1" spans="1:6" ht="14.4">
      <c r="A1" t="s">
        <v>691</v>
      </c>
      <c r="B1" t="s">
        <v>692</v>
      </c>
      <c r="C1" t="s">
        <v>693</v>
      </c>
      <c r="D1" t="s">
        <v>694</v>
      </c>
      <c r="E1" t="s">
        <v>695</v>
      </c>
      <c r="F1" t="s">
        <v>696</v>
      </c>
    </row>
    <row r="2" spans="1:6" ht="16" customHeight="1">
      <c r="A2" t="s">
        <v>697</v>
      </c>
      <c r="B2">
        <v>204</v>
      </c>
      <c r="C2">
        <v>5</v>
      </c>
      <c r="E2" t="s">
        <v>645</v>
      </c>
      <c r="F2" t="s">
        <v>698</v>
      </c>
    </row>
    <row r="3" spans="1:6" ht="14.4">
      <c r="A3" t="s">
        <v>699</v>
      </c>
      <c r="B3">
        <v>735</v>
      </c>
      <c r="C3">
        <v>24</v>
      </c>
      <c r="E3" t="s">
        <v>335</v>
      </c>
      <c r="F3" t="s">
        <v>698</v>
      </c>
    </row>
    <row r="4" spans="1:6" ht="14.4">
      <c r="A4" t="s">
        <v>700</v>
      </c>
      <c r="B4" s="12">
        <v>1290</v>
      </c>
      <c r="C4">
        <v>101</v>
      </c>
      <c r="E4" t="s">
        <v>219</v>
      </c>
      <c r="F4" t="s">
        <v>698</v>
      </c>
    </row>
    <row r="5" spans="1:6" ht="14.4">
      <c r="A5" t="s">
        <v>701</v>
      </c>
      <c r="B5" s="12">
        <v>1240</v>
      </c>
      <c r="C5">
        <v>92</v>
      </c>
      <c r="E5" t="s">
        <v>436</v>
      </c>
      <c r="F5" t="s">
        <v>698</v>
      </c>
    </row>
    <row r="6" spans="1:6" ht="14.4">
      <c r="A6" t="s">
        <v>702</v>
      </c>
      <c r="B6">
        <v>2</v>
      </c>
      <c r="C6">
        <v>0</v>
      </c>
      <c r="E6" t="s">
        <v>676</v>
      </c>
      <c r="F6" t="s">
        <v>698</v>
      </c>
    </row>
    <row r="7" spans="1:6" ht="14.4">
      <c r="A7" t="s">
        <v>703</v>
      </c>
      <c r="B7">
        <v>9</v>
      </c>
      <c r="C7">
        <v>0</v>
      </c>
      <c r="E7" t="s">
        <v>676</v>
      </c>
      <c r="F7" t="s">
        <v>698</v>
      </c>
    </row>
    <row r="8" spans="1:6" ht="14.4">
      <c r="A8" t="s">
        <v>704</v>
      </c>
      <c r="B8">
        <v>366</v>
      </c>
      <c r="C8">
        <v>1</v>
      </c>
      <c r="E8" t="s">
        <v>294</v>
      </c>
      <c r="F8" t="s">
        <v>698</v>
      </c>
    </row>
    <row r="9" spans="1:6" ht="14.4">
      <c r="A9" t="s">
        <v>705</v>
      </c>
      <c r="B9">
        <v>1720</v>
      </c>
      <c r="C9">
        <v>27</v>
      </c>
      <c r="E9" t="s">
        <v>59</v>
      </c>
      <c r="F9" t="s">
        <v>698</v>
      </c>
    </row>
    <row r="10" spans="1:6" ht="14.4">
      <c r="A10" t="s">
        <v>706</v>
      </c>
      <c r="B10">
        <v>2260</v>
      </c>
      <c r="C10">
        <v>93</v>
      </c>
      <c r="E10" t="s">
        <v>59</v>
      </c>
      <c r="F10" t="s">
        <v>698</v>
      </c>
    </row>
    <row r="11" spans="1:6" ht="14.4">
      <c r="A11" t="s">
        <v>707</v>
      </c>
      <c r="B11">
        <v>2160</v>
      </c>
      <c r="C11">
        <v>71</v>
      </c>
      <c r="E11" t="s">
        <v>294</v>
      </c>
      <c r="F11" t="s">
        <v>698</v>
      </c>
    </row>
    <row r="12" spans="1:6" ht="14.4">
      <c r="A12" t="s">
        <v>708</v>
      </c>
      <c r="B12">
        <v>13</v>
      </c>
      <c r="C12">
        <v>0</v>
      </c>
      <c r="E12" t="s">
        <v>294</v>
      </c>
      <c r="F12" t="s">
        <v>698</v>
      </c>
    </row>
    <row r="13" spans="1:6" ht="14.4">
      <c r="A13" t="s">
        <v>709</v>
      </c>
      <c r="B13">
        <v>94</v>
      </c>
      <c r="C13">
        <v>5</v>
      </c>
      <c r="E13" t="s">
        <v>335</v>
      </c>
      <c r="F13" t="s">
        <v>698</v>
      </c>
    </row>
    <row r="14" spans="1:6" ht="14.4">
      <c r="A14" t="s">
        <v>710</v>
      </c>
      <c r="B14">
        <v>13</v>
      </c>
      <c r="C14">
        <v>0</v>
      </c>
      <c r="E14" t="s">
        <v>294</v>
      </c>
      <c r="F14" t="s">
        <v>698</v>
      </c>
    </row>
    <row r="15" spans="1:6" ht="14.4">
      <c r="A15" t="s">
        <v>711</v>
      </c>
      <c r="B15">
        <v>21</v>
      </c>
      <c r="C15">
        <v>0</v>
      </c>
      <c r="E15" t="s">
        <v>294</v>
      </c>
      <c r="F15" t="s">
        <v>698</v>
      </c>
    </row>
    <row r="17" spans="1:5" ht="14.4">
      <c r="A17" t="s">
        <v>712</v>
      </c>
      <c r="D17" t="s">
        <v>713</v>
      </c>
      <c r="E17" t="s">
        <v>335</v>
      </c>
    </row>
    <row r="20" spans="1:5" ht="14.4">
      <c r="A20" t="s">
        <v>714</v>
      </c>
      <c r="B20">
        <f>SUM(B2:B15)</f>
        <v>10127</v>
      </c>
      <c r="C20">
        <f>SUM(C2:C15)</f>
        <v>419</v>
      </c>
    </row>
    <row r="21" spans="1:5" ht="14.4">
      <c r="A21" t="s">
        <v>715</v>
      </c>
      <c r="B21">
        <f>25+25+25+25+2+9+25+25+25+25+13+25+13+21</f>
        <v>283</v>
      </c>
      <c r="C21">
        <f>5+24+25+25+0+0+1+25+25+25+0+5+0+0</f>
        <v>160</v>
      </c>
    </row>
    <row r="22" spans="1:5" ht="14.4">
      <c r="B22" t="s">
        <v>714</v>
      </c>
      <c r="C22">
        <f>SUM(B21:C21)</f>
        <v>443</v>
      </c>
    </row>
    <row r="29" spans="1:5" ht="14.4">
      <c r="A29" t="s">
        <v>716</v>
      </c>
    </row>
    <row r="30" spans="1:5" ht="14.4">
      <c r="A30" t="s">
        <v>717</v>
      </c>
    </row>
    <row r="31" spans="1:5" 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00650-9387-429A-8372-7D72C366792E}">
  <dimension ref="A1:M18"/>
  <sheetViews>
    <sheetView topLeftCell="D1" workbookViewId="0">
      <selection activeCell="M11" sqref="M11"/>
    </sheetView>
  </sheetViews>
  <sheetFormatPr defaultRowHeight="15" customHeight="1"/>
  <cols>
    <col min="1" max="2" width="29.578125" customWidth="1"/>
    <col min="3" max="3" width="45.15625" customWidth="1"/>
    <col min="4" max="6" width="28.578125" customWidth="1"/>
    <col min="7" max="9" width="17.68359375" customWidth="1"/>
    <col min="10" max="10" width="36.41796875" customWidth="1"/>
    <col min="11" max="11" width="48" customWidth="1"/>
    <col min="12" max="12" width="36.578125" bestFit="1" customWidth="1"/>
  </cols>
  <sheetData>
    <row r="1" spans="1:13" s="1" customFormat="1" ht="28.8">
      <c r="A1" s="1" t="s">
        <v>718</v>
      </c>
      <c r="B1" s="1" t="s">
        <v>719</v>
      </c>
      <c r="C1" s="1" t="s">
        <v>720</v>
      </c>
      <c r="D1" s="1" t="s">
        <v>721</v>
      </c>
      <c r="E1" s="1" t="s">
        <v>722</v>
      </c>
      <c r="F1" s="1" t="s">
        <v>723</v>
      </c>
      <c r="G1" s="1" t="s">
        <v>724</v>
      </c>
      <c r="H1" s="1" t="s">
        <v>725</v>
      </c>
      <c r="I1" s="1" t="s">
        <v>726</v>
      </c>
      <c r="J1" s="1" t="s">
        <v>16</v>
      </c>
      <c r="K1" s="1" t="s">
        <v>18</v>
      </c>
      <c r="L1" s="1" t="s">
        <v>19</v>
      </c>
      <c r="M1" s="1" t="s">
        <v>20</v>
      </c>
    </row>
    <row r="2" spans="1:13" ht="14.4">
      <c r="A2" t="s">
        <v>727</v>
      </c>
      <c r="B2" t="s">
        <v>46</v>
      </c>
      <c r="C2" t="s">
        <v>48</v>
      </c>
      <c r="D2" t="s">
        <v>50</v>
      </c>
      <c r="G2">
        <v>1</v>
      </c>
      <c r="H2" t="s">
        <v>728</v>
      </c>
      <c r="I2" t="s">
        <v>729</v>
      </c>
      <c r="J2" t="s">
        <v>730</v>
      </c>
      <c r="K2" t="s">
        <v>55</v>
      </c>
      <c r="L2" t="s">
        <v>56</v>
      </c>
      <c r="M2" s="2" t="s">
        <v>57</v>
      </c>
    </row>
    <row r="3" spans="1:13" ht="15" customHeight="1">
      <c r="A3" t="s">
        <v>731</v>
      </c>
      <c r="B3" t="s">
        <v>732</v>
      </c>
      <c r="C3" t="s">
        <v>61</v>
      </c>
      <c r="G3" s="4">
        <v>26</v>
      </c>
      <c r="H3" t="s">
        <v>733</v>
      </c>
      <c r="I3" s="4" t="s">
        <v>734</v>
      </c>
      <c r="J3" s="3" t="s">
        <v>65</v>
      </c>
      <c r="K3" t="s">
        <v>66</v>
      </c>
      <c r="L3" s="6" t="s">
        <v>735</v>
      </c>
      <c r="M3" s="2" t="s">
        <v>68</v>
      </c>
    </row>
    <row r="4" spans="1:13" ht="15" customHeight="1">
      <c r="A4" t="s">
        <v>736</v>
      </c>
      <c r="B4" t="s">
        <v>737</v>
      </c>
      <c r="C4" t="s">
        <v>71</v>
      </c>
      <c r="D4" t="s">
        <v>72</v>
      </c>
      <c r="G4">
        <v>374</v>
      </c>
      <c r="H4" s="7">
        <v>15</v>
      </c>
      <c r="I4" t="s">
        <v>738</v>
      </c>
      <c r="J4" t="s">
        <v>75</v>
      </c>
      <c r="K4" t="s">
        <v>76</v>
      </c>
      <c r="L4" s="8" t="s">
        <v>739</v>
      </c>
      <c r="M4" s="2" t="s">
        <v>78</v>
      </c>
    </row>
    <row r="5" spans="1:13" ht="15" customHeight="1">
      <c r="A5" t="s">
        <v>740</v>
      </c>
      <c r="B5" t="s">
        <v>82</v>
      </c>
      <c r="C5" t="s">
        <v>83</v>
      </c>
      <c r="D5" t="s">
        <v>84</v>
      </c>
      <c r="G5" t="s">
        <v>741</v>
      </c>
      <c r="H5" t="s">
        <v>742</v>
      </c>
      <c r="I5" t="s">
        <v>743</v>
      </c>
      <c r="J5" t="s">
        <v>744</v>
      </c>
      <c r="K5" t="s">
        <v>87</v>
      </c>
      <c r="L5" t="s">
        <v>745</v>
      </c>
      <c r="M5" s="2" t="s">
        <v>89</v>
      </c>
    </row>
    <row r="6" spans="1:13" ht="15" customHeight="1">
      <c r="A6" t="s">
        <v>746</v>
      </c>
      <c r="B6" t="s">
        <v>36</v>
      </c>
      <c r="C6" t="s">
        <v>38</v>
      </c>
      <c r="D6" t="s">
        <v>29</v>
      </c>
      <c r="G6">
        <v>13</v>
      </c>
      <c r="H6" t="s">
        <v>747</v>
      </c>
      <c r="I6" t="s">
        <v>748</v>
      </c>
      <c r="J6" t="s">
        <v>749</v>
      </c>
      <c r="K6" t="s">
        <v>43</v>
      </c>
      <c r="L6" t="s">
        <v>750</v>
      </c>
      <c r="M6" s="2" t="s">
        <v>45</v>
      </c>
    </row>
    <row r="7" spans="1:13" ht="15" customHeight="1">
      <c r="A7" t="s">
        <v>751</v>
      </c>
      <c r="B7" t="s">
        <v>752</v>
      </c>
      <c r="C7" t="s">
        <v>753</v>
      </c>
      <c r="D7" s="5" t="s">
        <v>754</v>
      </c>
      <c r="E7" s="5"/>
      <c r="F7" s="5"/>
      <c r="G7">
        <v>91</v>
      </c>
      <c r="H7" t="s">
        <v>755</v>
      </c>
      <c r="I7" t="s">
        <v>756</v>
      </c>
      <c r="J7" t="s">
        <v>757</v>
      </c>
      <c r="K7" t="s">
        <v>143</v>
      </c>
      <c r="M7" s="2" t="s">
        <v>758</v>
      </c>
    </row>
    <row r="8" spans="1:13" ht="15" customHeight="1">
      <c r="A8" t="s">
        <v>759</v>
      </c>
      <c r="B8" t="s">
        <v>760</v>
      </c>
      <c r="C8" t="s">
        <v>92</v>
      </c>
      <c r="D8" t="s">
        <v>93</v>
      </c>
      <c r="G8">
        <v>18</v>
      </c>
      <c r="H8">
        <v>39</v>
      </c>
      <c r="I8" t="s">
        <v>761</v>
      </c>
      <c r="J8" t="s">
        <v>96</v>
      </c>
      <c r="K8" t="s">
        <v>97</v>
      </c>
      <c r="L8" s="10" t="s">
        <v>98</v>
      </c>
      <c r="M8" s="2" t="s">
        <v>99</v>
      </c>
    </row>
    <row r="9" spans="1:13" ht="15" customHeight="1">
      <c r="B9" t="s">
        <v>762</v>
      </c>
      <c r="G9">
        <v>1</v>
      </c>
      <c r="H9">
        <v>18</v>
      </c>
      <c r="I9" t="s">
        <v>763</v>
      </c>
      <c r="J9" t="s">
        <v>516</v>
      </c>
      <c r="K9" s="2" t="s">
        <v>260</v>
      </c>
    </row>
    <row r="10" spans="1:13" ht="15" customHeight="1">
      <c r="A10" t="s">
        <v>764</v>
      </c>
      <c r="B10" t="s">
        <v>765</v>
      </c>
      <c r="C10" t="s">
        <v>766</v>
      </c>
      <c r="D10" t="s">
        <v>767</v>
      </c>
      <c r="G10">
        <v>1</v>
      </c>
      <c r="H10" t="s">
        <v>768</v>
      </c>
      <c r="I10" t="s">
        <v>769</v>
      </c>
      <c r="J10" t="s">
        <v>770</v>
      </c>
      <c r="K10" t="s">
        <v>771</v>
      </c>
      <c r="M10" s="2" t="s">
        <v>772</v>
      </c>
    </row>
    <row r="11" spans="1:13" ht="15" customHeight="1">
      <c r="A11" t="s">
        <v>773</v>
      </c>
      <c r="B11" t="s">
        <v>774</v>
      </c>
      <c r="C11" t="s">
        <v>775</v>
      </c>
      <c r="D11" t="s">
        <v>29</v>
      </c>
      <c r="G11">
        <v>345</v>
      </c>
      <c r="H11" t="s">
        <v>776</v>
      </c>
      <c r="I11" t="s">
        <v>777</v>
      </c>
      <c r="J11" t="s">
        <v>778</v>
      </c>
      <c r="K11" t="s">
        <v>106</v>
      </c>
      <c r="L11" t="s">
        <v>779</v>
      </c>
      <c r="M11" s="2" t="s">
        <v>108</v>
      </c>
    </row>
    <row r="12" spans="1:13" ht="15" customHeight="1">
      <c r="A12" t="s">
        <v>780</v>
      </c>
      <c r="B12" t="s">
        <v>36</v>
      </c>
      <c r="C12" t="s">
        <v>781</v>
      </c>
      <c r="D12" t="s">
        <v>782</v>
      </c>
      <c r="G12">
        <v>2</v>
      </c>
      <c r="H12" t="s">
        <v>783</v>
      </c>
      <c r="I12" t="s">
        <v>784</v>
      </c>
      <c r="J12" t="s">
        <v>113</v>
      </c>
      <c r="K12" t="s">
        <v>785</v>
      </c>
      <c r="L12" t="s">
        <v>115</v>
      </c>
      <c r="M12" s="2" t="s">
        <v>116</v>
      </c>
    </row>
    <row r="13" spans="1:13" ht="15" customHeight="1">
      <c r="A13" t="s">
        <v>786</v>
      </c>
      <c r="B13" t="s">
        <v>120</v>
      </c>
      <c r="C13" t="s">
        <v>121</v>
      </c>
      <c r="D13" t="s">
        <v>122</v>
      </c>
      <c r="G13">
        <v>25</v>
      </c>
      <c r="H13">
        <v>29</v>
      </c>
      <c r="I13" t="s">
        <v>787</v>
      </c>
      <c r="J13" t="s">
        <v>124</v>
      </c>
      <c r="K13" t="s">
        <v>125</v>
      </c>
      <c r="L13" t="s">
        <v>788</v>
      </c>
      <c r="M13" s="2" t="s">
        <v>127</v>
      </c>
    </row>
    <row r="14" spans="1:13" ht="15" customHeight="1">
      <c r="B14" t="s">
        <v>789</v>
      </c>
      <c r="C14" t="s">
        <v>790</v>
      </c>
      <c r="G14">
        <v>442</v>
      </c>
      <c r="I14" t="s">
        <v>791</v>
      </c>
      <c r="J14" t="s">
        <v>792</v>
      </c>
      <c r="K14" t="s">
        <v>793</v>
      </c>
      <c r="L14" s="11" t="s">
        <v>794</v>
      </c>
      <c r="M14" s="2" t="s">
        <v>795</v>
      </c>
    </row>
    <row r="15" spans="1:13" ht="15" customHeight="1">
      <c r="A15" t="s">
        <v>796</v>
      </c>
      <c r="B15" t="s">
        <v>797</v>
      </c>
      <c r="C15" t="s">
        <v>431</v>
      </c>
      <c r="G15">
        <v>167</v>
      </c>
      <c r="I15" t="s">
        <v>798</v>
      </c>
      <c r="J15" t="s">
        <v>434</v>
      </c>
      <c r="K15" t="s">
        <v>76</v>
      </c>
      <c r="M15" s="2" t="s">
        <v>435</v>
      </c>
    </row>
    <row r="16" spans="1:13" ht="15" customHeight="1">
      <c r="A16" t="s">
        <v>799</v>
      </c>
      <c r="B16" t="s">
        <v>437</v>
      </c>
      <c r="C16" t="s">
        <v>431</v>
      </c>
      <c r="D16" t="s">
        <v>439</v>
      </c>
      <c r="G16">
        <v>6</v>
      </c>
      <c r="I16" t="s">
        <v>800</v>
      </c>
      <c r="J16" t="s">
        <v>443</v>
      </c>
      <c r="K16" t="s">
        <v>76</v>
      </c>
      <c r="M16" s="2" t="s">
        <v>444</v>
      </c>
    </row>
    <row r="18" spans="1:11" ht="15" customHeight="1">
      <c r="A18" t="s">
        <v>801</v>
      </c>
      <c r="H18">
        <v>24</v>
      </c>
      <c r="I18" t="s">
        <v>802</v>
      </c>
      <c r="J18" t="s">
        <v>33</v>
      </c>
      <c r="K18" t="s">
        <v>76</v>
      </c>
    </row>
  </sheetData>
  <hyperlinks>
    <hyperlink ref="M2" r:id="rId1" xr:uid="{4E4635D1-5687-420F-851D-9680A81EA8CD}"/>
    <hyperlink ref="M3" r:id="rId2" xr:uid="{58F78C16-40E1-4FBE-8070-9E76E73A6425}"/>
    <hyperlink ref="M5" r:id="rId3" xr:uid="{87C7BE28-44F8-4B3D-AC9A-1D86D59A6588}"/>
    <hyperlink ref="M7" r:id="rId4" xr:uid="{DFDAF223-C717-4528-A706-3378E86784FF}"/>
    <hyperlink ref="M10" r:id="rId5" xr:uid="{6E36ACD0-2D59-400B-9CC2-8EBA31930BEE}"/>
    <hyperlink ref="M11" r:id="rId6" xr:uid="{E9C0338F-E816-4B62-A73F-6F92E2957591}"/>
    <hyperlink ref="M6" r:id="rId7" xr:uid="{449990CF-3EE2-4AFE-BE9A-76A615445161}"/>
    <hyperlink ref="K9" r:id="rId8" xr:uid="{0CD6CF28-18E1-4334-A2CF-568150F30FDD}"/>
    <hyperlink ref="M4" r:id="rId9" xr:uid="{17E537C2-2C83-4BE8-881E-782BA0CDE4FA}"/>
    <hyperlink ref="M12" r:id="rId10" location="B23-resources-13-00149" xr:uid="{4871CD80-7005-4E15-B9BB-EDE359C4839C}"/>
    <hyperlink ref="M8" r:id="rId11" xr:uid="{04F43AA5-18F6-4BA2-80DF-B47C8EDEFB2C}"/>
    <hyperlink ref="M13" r:id="rId12" xr:uid="{83A8F6C6-8ADA-468A-87B2-284E70CA0941}"/>
    <hyperlink ref="M14" r:id="rId13" xr:uid="{57CFB142-0282-4422-808D-C968C4524B0D}"/>
    <hyperlink ref="M15" r:id="rId14" xr:uid="{0630DDB1-1ABC-41B7-AA2B-C55D88690F4A}"/>
    <hyperlink ref="M16" r:id="rId15" xr:uid="{E009D534-70E8-4466-82D9-CB81F9C401B1}"/>
  </hyperlinks>
  <pageMargins left="0.7" right="0.7" top="0.75" bottom="0.75" header="0.3" footer="0.3"/>
  <pageSetup orientation="portrait" r:id="rId1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2AF9-1525-4AFA-9DA7-127C5C23E971}">
  <dimension ref="A1:AE198"/>
  <sheetViews>
    <sheetView workbookViewId="0">
      <pane ySplit="1" topLeftCell="A113" activePane="bottomLeft" state="frozen"/>
      <selection pane="bottomLeft" activeCell="Q113" sqref="Q113"/>
    </sheetView>
  </sheetViews>
  <sheetFormatPr defaultRowHeight="15" customHeight="1"/>
  <cols>
    <col min="1" max="1" width="19.26171875" customWidth="1"/>
    <col min="2" max="2" width="19.41796875" customWidth="1"/>
    <col min="3" max="3" width="9.15625" customWidth="1"/>
    <col min="4" max="4" width="8.15625" customWidth="1"/>
    <col min="6" max="6" width="40.68359375" customWidth="1"/>
    <col min="7" max="7" width="23.26171875" customWidth="1"/>
    <col min="8" max="8" width="14.83984375" customWidth="1"/>
    <col min="9" max="9" width="10.578125" customWidth="1"/>
    <col min="10" max="10" width="28" customWidth="1"/>
    <col min="11" max="11" width="14.68359375" customWidth="1"/>
    <col min="12" max="12" width="13.41796875" customWidth="1"/>
    <col min="14" max="14" width="8.83984375" customWidth="1"/>
    <col min="16" max="16" width="6.68359375" customWidth="1"/>
    <col min="17" max="17" width="58.15625" customWidth="1"/>
    <col min="18" max="18" width="30.83984375" customWidth="1"/>
    <col min="19" max="19" width="27.41796875" customWidth="1"/>
  </cols>
  <sheetData>
    <row r="1" spans="1:25" ht="4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t="s">
        <v>21</v>
      </c>
      <c r="W1" t="s">
        <v>22</v>
      </c>
      <c r="X1" t="s">
        <v>23</v>
      </c>
      <c r="Y1" t="s">
        <v>24</v>
      </c>
    </row>
    <row r="2" spans="1:25" ht="14.4">
      <c r="A2">
        <v>3.4000000000000002E-2</v>
      </c>
      <c r="B2" t="s">
        <v>25</v>
      </c>
      <c r="C2" s="8">
        <v>0</v>
      </c>
      <c r="D2" s="8">
        <v>-176</v>
      </c>
      <c r="E2" t="s">
        <v>26</v>
      </c>
      <c r="F2" t="s">
        <v>27</v>
      </c>
      <c r="G2" t="s">
        <v>28</v>
      </c>
      <c r="H2" t="s">
        <v>29</v>
      </c>
      <c r="I2" t="s">
        <v>30</v>
      </c>
      <c r="J2" t="s">
        <v>31</v>
      </c>
      <c r="K2" t="s">
        <v>31</v>
      </c>
      <c r="L2">
        <v>235</v>
      </c>
      <c r="M2">
        <f t="shared" ref="M2:M16" si="0">O2-N2</f>
        <v>24</v>
      </c>
      <c r="N2">
        <v>1985</v>
      </c>
      <c r="O2">
        <v>2009</v>
      </c>
      <c r="Q2" s="14" t="s">
        <v>803</v>
      </c>
      <c r="R2" t="s">
        <v>33</v>
      </c>
    </row>
    <row r="3" spans="1:25" ht="14.4">
      <c r="A3">
        <v>0.05</v>
      </c>
      <c r="B3" t="s">
        <v>36</v>
      </c>
      <c r="C3">
        <v>54.017197511676201</v>
      </c>
      <c r="D3" s="9">
        <v>18.533078379552101</v>
      </c>
      <c r="E3" t="s">
        <v>804</v>
      </c>
      <c r="F3" t="s">
        <v>38</v>
      </c>
      <c r="G3" t="s">
        <v>39</v>
      </c>
      <c r="H3" t="s">
        <v>29</v>
      </c>
      <c r="I3" t="s">
        <v>30</v>
      </c>
      <c r="J3" t="s">
        <v>40</v>
      </c>
      <c r="K3" t="s">
        <v>40</v>
      </c>
      <c r="L3">
        <v>13</v>
      </c>
      <c r="M3">
        <f t="shared" si="0"/>
        <v>29</v>
      </c>
      <c r="N3">
        <v>1993</v>
      </c>
      <c r="O3">
        <v>2022</v>
      </c>
      <c r="Q3" s="14" t="s">
        <v>41</v>
      </c>
      <c r="R3" t="s">
        <v>42</v>
      </c>
      <c r="S3" t="s">
        <v>43</v>
      </c>
      <c r="T3" t="s">
        <v>750</v>
      </c>
      <c r="U3" s="2" t="s">
        <v>45</v>
      </c>
    </row>
    <row r="4" spans="1:25" ht="14.4">
      <c r="A4">
        <v>2.3E-2</v>
      </c>
      <c r="B4" t="s">
        <v>46</v>
      </c>
      <c r="C4">
        <v>69.050063533515697</v>
      </c>
      <c r="D4" s="9">
        <v>27.794681729726801</v>
      </c>
      <c r="E4" s="9" t="s">
        <v>47</v>
      </c>
      <c r="F4" t="s">
        <v>48</v>
      </c>
      <c r="G4" t="s">
        <v>49</v>
      </c>
      <c r="H4" t="s">
        <v>50</v>
      </c>
      <c r="I4" t="s">
        <v>30</v>
      </c>
      <c r="J4" t="s">
        <v>40</v>
      </c>
      <c r="K4" t="s">
        <v>40</v>
      </c>
      <c r="L4">
        <v>1</v>
      </c>
      <c r="M4">
        <f t="shared" si="0"/>
        <v>63</v>
      </c>
      <c r="N4">
        <v>1960</v>
      </c>
      <c r="O4">
        <v>2023</v>
      </c>
      <c r="Q4" s="14" t="s">
        <v>53</v>
      </c>
      <c r="R4" t="s">
        <v>54</v>
      </c>
      <c r="S4" t="s">
        <v>55</v>
      </c>
      <c r="T4" t="s">
        <v>56</v>
      </c>
      <c r="U4" s="2" t="s">
        <v>57</v>
      </c>
    </row>
    <row r="5" spans="1:25" ht="14.4">
      <c r="A5">
        <v>0.04</v>
      </c>
      <c r="B5" t="s">
        <v>60</v>
      </c>
      <c r="C5">
        <v>55.689302269141699</v>
      </c>
      <c r="D5" s="9">
        <v>14.8641169214791</v>
      </c>
      <c r="E5" t="s">
        <v>37</v>
      </c>
      <c r="F5" t="s">
        <v>61</v>
      </c>
      <c r="G5" t="s">
        <v>62</v>
      </c>
      <c r="I5" t="s">
        <v>30</v>
      </c>
      <c r="J5" t="s">
        <v>40</v>
      </c>
      <c r="K5" t="s">
        <v>40</v>
      </c>
      <c r="L5" s="4">
        <v>26</v>
      </c>
      <c r="M5">
        <f t="shared" si="0"/>
        <v>35</v>
      </c>
      <c r="N5" s="4">
        <v>1981</v>
      </c>
      <c r="O5" s="4">
        <v>2016</v>
      </c>
      <c r="P5" s="4"/>
      <c r="Q5" s="14" t="s">
        <v>64</v>
      </c>
      <c r="R5" s="3" t="s">
        <v>65</v>
      </c>
      <c r="S5" t="s">
        <v>66</v>
      </c>
      <c r="T5" s="6" t="s">
        <v>67</v>
      </c>
      <c r="U5" s="2" t="s">
        <v>68</v>
      </c>
    </row>
    <row r="6" spans="1:25" ht="14.4">
      <c r="A6">
        <v>3.6999999999999998E-2</v>
      </c>
      <c r="B6" t="s">
        <v>737</v>
      </c>
      <c r="C6">
        <v>31.675255626368699</v>
      </c>
      <c r="D6" s="9">
        <v>87.801174559325503</v>
      </c>
      <c r="E6" t="s">
        <v>37</v>
      </c>
      <c r="F6" t="s">
        <v>71</v>
      </c>
      <c r="G6" t="s">
        <v>62</v>
      </c>
      <c r="H6" t="s">
        <v>72</v>
      </c>
      <c r="I6" t="s">
        <v>30</v>
      </c>
      <c r="J6" t="s">
        <v>73</v>
      </c>
      <c r="K6" t="s">
        <v>73</v>
      </c>
      <c r="L6">
        <v>374</v>
      </c>
      <c r="M6">
        <f t="shared" si="0"/>
        <v>14</v>
      </c>
      <c r="N6">
        <v>2001</v>
      </c>
      <c r="O6">
        <v>2015</v>
      </c>
      <c r="Q6" s="14" t="s">
        <v>805</v>
      </c>
      <c r="R6" t="s">
        <v>75</v>
      </c>
      <c r="S6" t="s">
        <v>76</v>
      </c>
      <c r="T6" s="8" t="s">
        <v>77</v>
      </c>
      <c r="U6" s="2" t="s">
        <v>78</v>
      </c>
    </row>
    <row r="7" spans="1:25" ht="14.4">
      <c r="A7">
        <v>7.1999999999999995E-2</v>
      </c>
      <c r="B7" t="s">
        <v>737</v>
      </c>
      <c r="C7">
        <v>31.675255626368699</v>
      </c>
      <c r="D7" s="9">
        <v>87.801174559325503</v>
      </c>
      <c r="E7" t="s">
        <v>37</v>
      </c>
      <c r="F7" t="s">
        <v>71</v>
      </c>
      <c r="G7" t="s">
        <v>62</v>
      </c>
      <c r="H7" t="s">
        <v>72</v>
      </c>
      <c r="I7" t="s">
        <v>30</v>
      </c>
      <c r="J7" t="s">
        <v>80</v>
      </c>
      <c r="K7" t="s">
        <v>80</v>
      </c>
      <c r="L7">
        <v>374</v>
      </c>
      <c r="M7">
        <f t="shared" si="0"/>
        <v>14</v>
      </c>
      <c r="N7">
        <v>2001</v>
      </c>
      <c r="O7">
        <v>2015</v>
      </c>
      <c r="Q7" s="14" t="s">
        <v>805</v>
      </c>
      <c r="R7" t="s">
        <v>75</v>
      </c>
      <c r="S7" t="s">
        <v>76</v>
      </c>
      <c r="T7" s="8" t="s">
        <v>77</v>
      </c>
      <c r="U7" s="2" t="s">
        <v>78</v>
      </c>
    </row>
    <row r="8" spans="1:25" ht="14.4">
      <c r="A8">
        <v>2.3E-2</v>
      </c>
      <c r="B8" t="s">
        <v>737</v>
      </c>
      <c r="C8">
        <v>31.675255626368699</v>
      </c>
      <c r="D8" s="9">
        <v>87.801174559325503</v>
      </c>
      <c r="E8" t="s">
        <v>37</v>
      </c>
      <c r="F8" t="s">
        <v>71</v>
      </c>
      <c r="G8" t="s">
        <v>62</v>
      </c>
      <c r="H8" t="s">
        <v>72</v>
      </c>
      <c r="I8" t="s">
        <v>30</v>
      </c>
      <c r="J8" t="s">
        <v>31</v>
      </c>
      <c r="K8" t="s">
        <v>31</v>
      </c>
      <c r="L8">
        <v>374</v>
      </c>
      <c r="M8">
        <f t="shared" si="0"/>
        <v>14</v>
      </c>
      <c r="N8">
        <v>2001</v>
      </c>
      <c r="O8">
        <v>2015</v>
      </c>
      <c r="Q8" s="152" t="s">
        <v>806</v>
      </c>
      <c r="R8" t="s">
        <v>75</v>
      </c>
      <c r="S8" t="s">
        <v>76</v>
      </c>
      <c r="T8" s="8" t="s">
        <v>77</v>
      </c>
      <c r="U8" s="2" t="s">
        <v>78</v>
      </c>
    </row>
    <row r="9" spans="1:25" ht="14.4">
      <c r="A9">
        <v>1.9E-2</v>
      </c>
      <c r="B9" t="s">
        <v>737</v>
      </c>
      <c r="C9">
        <v>31.675255626368699</v>
      </c>
      <c r="D9" s="9">
        <v>87.801174559325503</v>
      </c>
      <c r="E9" t="s">
        <v>37</v>
      </c>
      <c r="F9" t="s">
        <v>71</v>
      </c>
      <c r="G9" t="s">
        <v>62</v>
      </c>
      <c r="H9" t="s">
        <v>72</v>
      </c>
      <c r="I9" t="s">
        <v>30</v>
      </c>
      <c r="J9" t="s">
        <v>81</v>
      </c>
      <c r="K9" t="s">
        <v>81</v>
      </c>
      <c r="L9">
        <v>374</v>
      </c>
      <c r="M9">
        <f t="shared" si="0"/>
        <v>14</v>
      </c>
      <c r="N9">
        <v>2001</v>
      </c>
      <c r="O9">
        <v>2015</v>
      </c>
      <c r="Q9" s="14" t="s">
        <v>805</v>
      </c>
      <c r="R9" t="s">
        <v>75</v>
      </c>
      <c r="S9" t="s">
        <v>76</v>
      </c>
      <c r="T9" s="8" t="s">
        <v>77</v>
      </c>
      <c r="U9" s="2" t="s">
        <v>78</v>
      </c>
    </row>
    <row r="10" spans="1:25" ht="14.4">
      <c r="A10">
        <v>3.6999999999999998E-2</v>
      </c>
      <c r="B10" t="s">
        <v>737</v>
      </c>
      <c r="C10">
        <v>31.675255626368699</v>
      </c>
      <c r="D10" s="9">
        <v>87.801174559325503</v>
      </c>
      <c r="E10" t="s">
        <v>37</v>
      </c>
      <c r="F10" t="s">
        <v>71</v>
      </c>
      <c r="G10" t="s">
        <v>62</v>
      </c>
      <c r="H10" t="s">
        <v>72</v>
      </c>
      <c r="I10" t="s">
        <v>30</v>
      </c>
      <c r="J10" t="s">
        <v>40</v>
      </c>
      <c r="K10" t="s">
        <v>40</v>
      </c>
      <c r="L10">
        <v>374</v>
      </c>
      <c r="M10">
        <f t="shared" si="0"/>
        <v>14</v>
      </c>
      <c r="N10">
        <v>2001</v>
      </c>
      <c r="O10">
        <v>2015</v>
      </c>
      <c r="Q10" s="8" t="s">
        <v>74</v>
      </c>
      <c r="R10" t="s">
        <v>75</v>
      </c>
      <c r="S10" t="s">
        <v>76</v>
      </c>
      <c r="T10" s="8" t="s">
        <v>77</v>
      </c>
      <c r="U10" s="2" t="s">
        <v>78</v>
      </c>
    </row>
    <row r="11" spans="1:25" ht="14.4">
      <c r="A11">
        <v>2.4E-2</v>
      </c>
      <c r="B11" t="s">
        <v>82</v>
      </c>
      <c r="C11">
        <v>34.3411033236398</v>
      </c>
      <c r="D11" s="9">
        <v>103.52721500615201</v>
      </c>
      <c r="E11" t="s">
        <v>804</v>
      </c>
      <c r="F11" t="s">
        <v>83</v>
      </c>
      <c r="G11" t="s">
        <v>62</v>
      </c>
      <c r="H11" t="s">
        <v>84</v>
      </c>
      <c r="I11" t="s">
        <v>30</v>
      </c>
      <c r="J11" t="s">
        <v>40</v>
      </c>
      <c r="K11" t="s">
        <v>40</v>
      </c>
      <c r="L11">
        <v>1451</v>
      </c>
      <c r="M11">
        <f t="shared" si="0"/>
        <v>20</v>
      </c>
      <c r="N11">
        <v>2001</v>
      </c>
      <c r="O11">
        <v>2021</v>
      </c>
      <c r="Q11" s="14" t="s">
        <v>807</v>
      </c>
      <c r="R11" t="s">
        <v>86</v>
      </c>
      <c r="S11" t="s">
        <v>87</v>
      </c>
      <c r="T11" t="s">
        <v>88</v>
      </c>
      <c r="U11" s="2" t="s">
        <v>89</v>
      </c>
    </row>
    <row r="12" spans="1:25" ht="14.4">
      <c r="A12">
        <v>0.04</v>
      </c>
      <c r="B12" t="s">
        <v>82</v>
      </c>
      <c r="C12">
        <v>34.3411033236398</v>
      </c>
      <c r="D12" s="9">
        <v>103.52721500615201</v>
      </c>
      <c r="E12" t="s">
        <v>804</v>
      </c>
      <c r="F12" t="s">
        <v>753</v>
      </c>
      <c r="G12" t="s">
        <v>62</v>
      </c>
      <c r="H12" s="5" t="s">
        <v>754</v>
      </c>
      <c r="I12" s="5" t="s">
        <v>30</v>
      </c>
      <c r="J12" t="s">
        <v>40</v>
      </c>
      <c r="K12" t="s">
        <v>40</v>
      </c>
      <c r="L12">
        <v>91</v>
      </c>
      <c r="M12">
        <f t="shared" si="0"/>
        <v>39</v>
      </c>
      <c r="N12">
        <v>1979</v>
      </c>
      <c r="O12">
        <v>2018</v>
      </c>
      <c r="Q12" s="14" t="s">
        <v>214</v>
      </c>
      <c r="R12" t="s">
        <v>808</v>
      </c>
      <c r="U12" s="2" t="s">
        <v>758</v>
      </c>
    </row>
    <row r="13" spans="1:25" ht="14.4">
      <c r="A13">
        <v>4.2999999999999997E-2</v>
      </c>
      <c r="B13" t="s">
        <v>91</v>
      </c>
      <c r="C13">
        <v>40.364283477628199</v>
      </c>
      <c r="D13" s="9">
        <v>21.908338151599299</v>
      </c>
      <c r="E13" t="s">
        <v>804</v>
      </c>
      <c r="F13" t="s">
        <v>92</v>
      </c>
      <c r="G13" t="s">
        <v>49</v>
      </c>
      <c r="H13" t="s">
        <v>93</v>
      </c>
      <c r="I13" t="s">
        <v>30</v>
      </c>
      <c r="J13" t="s">
        <v>40</v>
      </c>
      <c r="K13" t="s">
        <v>40</v>
      </c>
      <c r="L13">
        <v>18</v>
      </c>
      <c r="M13">
        <f t="shared" si="0"/>
        <v>39</v>
      </c>
      <c r="N13">
        <v>1981</v>
      </c>
      <c r="O13">
        <v>2020</v>
      </c>
      <c r="Q13" s="14" t="s">
        <v>809</v>
      </c>
      <c r="R13" t="s">
        <v>96</v>
      </c>
      <c r="S13" t="s">
        <v>97</v>
      </c>
      <c r="T13" t="s">
        <v>98</v>
      </c>
      <c r="U13" s="2" t="s">
        <v>99</v>
      </c>
    </row>
    <row r="14" spans="1:25" ht="14.4">
      <c r="A14">
        <v>4.3999999999999997E-2</v>
      </c>
      <c r="B14" t="s">
        <v>101</v>
      </c>
      <c r="C14" s="10">
        <v>40.935926240289902</v>
      </c>
      <c r="D14" s="9">
        <v>-29.1249950500738</v>
      </c>
      <c r="E14" t="s">
        <v>37</v>
      </c>
      <c r="F14" t="s">
        <v>102</v>
      </c>
      <c r="G14" t="s">
        <v>103</v>
      </c>
      <c r="H14" t="s">
        <v>29</v>
      </c>
      <c r="I14" t="s">
        <v>30</v>
      </c>
      <c r="J14" t="s">
        <v>31</v>
      </c>
      <c r="K14" t="s">
        <v>31</v>
      </c>
      <c r="L14">
        <v>345</v>
      </c>
      <c r="M14">
        <f t="shared" si="0"/>
        <v>38</v>
      </c>
      <c r="N14">
        <v>1979</v>
      </c>
      <c r="O14">
        <v>2017</v>
      </c>
      <c r="Q14" s="14" t="s">
        <v>810</v>
      </c>
      <c r="R14" t="s">
        <v>105</v>
      </c>
      <c r="S14" t="s">
        <v>106</v>
      </c>
      <c r="T14" t="s">
        <v>779</v>
      </c>
      <c r="U14" s="2" t="s">
        <v>108</v>
      </c>
    </row>
    <row r="15" spans="1:25" ht="14.4">
      <c r="A15">
        <v>0.05</v>
      </c>
      <c r="B15" t="s">
        <v>36</v>
      </c>
      <c r="C15">
        <v>54.0540701618309</v>
      </c>
      <c r="D15" s="9">
        <v>21.890129570014</v>
      </c>
      <c r="E15" t="s">
        <v>804</v>
      </c>
      <c r="F15" t="s">
        <v>781</v>
      </c>
      <c r="G15" t="s">
        <v>49</v>
      </c>
      <c r="H15" t="s">
        <v>782</v>
      </c>
      <c r="I15" t="s">
        <v>30</v>
      </c>
      <c r="J15" t="s">
        <v>40</v>
      </c>
      <c r="K15" t="s">
        <v>40</v>
      </c>
      <c r="L15">
        <v>2</v>
      </c>
      <c r="M15">
        <f t="shared" si="0"/>
        <v>69</v>
      </c>
      <c r="N15">
        <v>1954</v>
      </c>
      <c r="O15">
        <v>2023</v>
      </c>
      <c r="Q15" s="14" t="s">
        <v>112</v>
      </c>
      <c r="R15" t="s">
        <v>113</v>
      </c>
      <c r="S15" t="s">
        <v>114</v>
      </c>
      <c r="T15" t="s">
        <v>115</v>
      </c>
      <c r="U15" s="2" t="s">
        <v>116</v>
      </c>
    </row>
    <row r="16" spans="1:25" ht="14.4">
      <c r="A16">
        <v>4.3999999999999997E-2</v>
      </c>
      <c r="B16" t="s">
        <v>120</v>
      </c>
      <c r="C16">
        <v>53.6203150760292</v>
      </c>
      <c r="D16" s="9">
        <v>18.704762909732501</v>
      </c>
      <c r="E16" t="s">
        <v>804</v>
      </c>
      <c r="F16" t="s">
        <v>121</v>
      </c>
      <c r="G16" t="s">
        <v>103</v>
      </c>
      <c r="H16" t="s">
        <v>122</v>
      </c>
      <c r="I16" t="s">
        <v>30</v>
      </c>
      <c r="J16" t="s">
        <v>40</v>
      </c>
      <c r="K16" t="s">
        <v>40</v>
      </c>
      <c r="L16">
        <v>25</v>
      </c>
      <c r="M16">
        <f t="shared" si="0"/>
        <v>29</v>
      </c>
      <c r="N16">
        <v>1987</v>
      </c>
      <c r="O16">
        <v>2016</v>
      </c>
      <c r="Q16" s="166" t="s">
        <v>123</v>
      </c>
      <c r="R16" t="s">
        <v>124</v>
      </c>
      <c r="S16" t="s">
        <v>125</v>
      </c>
      <c r="T16" t="s">
        <v>788</v>
      </c>
      <c r="U16" s="2" t="s">
        <v>127</v>
      </c>
    </row>
    <row r="17" spans="1:24" ht="14.4">
      <c r="A17">
        <v>1.2E-2</v>
      </c>
      <c r="B17" t="s">
        <v>70</v>
      </c>
      <c r="C17">
        <v>31.675255626368699</v>
      </c>
      <c r="D17" s="9">
        <v>87.801174559325503</v>
      </c>
      <c r="E17" t="s">
        <v>37</v>
      </c>
      <c r="F17" t="s">
        <v>139</v>
      </c>
      <c r="G17" t="s">
        <v>62</v>
      </c>
      <c r="H17" t="s">
        <v>84</v>
      </c>
      <c r="I17" t="s">
        <v>30</v>
      </c>
      <c r="J17" t="s">
        <v>40</v>
      </c>
      <c r="K17" t="s">
        <v>40</v>
      </c>
      <c r="L17">
        <v>52</v>
      </c>
      <c r="M17">
        <v>11</v>
      </c>
      <c r="N17">
        <v>2001</v>
      </c>
      <c r="O17">
        <v>2012</v>
      </c>
      <c r="P17" t="s">
        <v>140</v>
      </c>
      <c r="Q17" s="14" t="s">
        <v>141</v>
      </c>
      <c r="R17" t="s">
        <v>142</v>
      </c>
      <c r="S17" t="s">
        <v>143</v>
      </c>
      <c r="T17" t="s">
        <v>144</v>
      </c>
      <c r="U17" s="2" t="s">
        <v>145</v>
      </c>
      <c r="X17" t="s">
        <v>59</v>
      </c>
    </row>
    <row r="18" spans="1:24" ht="14.4">
      <c r="A18">
        <v>2.5999999999999999E-2</v>
      </c>
      <c r="B18" t="s">
        <v>70</v>
      </c>
      <c r="C18">
        <v>31.675255626368699</v>
      </c>
      <c r="D18" s="9">
        <v>87.801174559325503</v>
      </c>
      <c r="E18" t="s">
        <v>37</v>
      </c>
      <c r="F18" t="s">
        <v>147</v>
      </c>
      <c r="G18" t="s">
        <v>62</v>
      </c>
      <c r="H18" t="s">
        <v>84</v>
      </c>
      <c r="I18" t="s">
        <v>30</v>
      </c>
      <c r="J18" t="s">
        <v>40</v>
      </c>
      <c r="K18" t="s">
        <v>40</v>
      </c>
      <c r="L18">
        <v>169</v>
      </c>
      <c r="M18">
        <v>15</v>
      </c>
      <c r="N18">
        <v>2001</v>
      </c>
      <c r="O18">
        <v>2016</v>
      </c>
      <c r="P18" t="s">
        <v>140</v>
      </c>
      <c r="Q18" s="4" t="s">
        <v>149</v>
      </c>
      <c r="R18" t="s">
        <v>150</v>
      </c>
      <c r="S18" t="s">
        <v>151</v>
      </c>
      <c r="T18" t="s">
        <v>152</v>
      </c>
      <c r="U18" s="2" t="s">
        <v>153</v>
      </c>
      <c r="V18" t="s">
        <v>211</v>
      </c>
      <c r="X18" t="s">
        <v>59</v>
      </c>
    </row>
    <row r="19" spans="1:24" ht="14.4">
      <c r="A19">
        <v>-2.9000000000000001E-2</v>
      </c>
      <c r="B19" t="s">
        <v>70</v>
      </c>
      <c r="C19">
        <v>31.675255626368699</v>
      </c>
      <c r="D19" s="9">
        <v>87.801174559325503</v>
      </c>
      <c r="E19" t="s">
        <v>37</v>
      </c>
      <c r="F19" t="s">
        <v>185</v>
      </c>
      <c r="G19" t="s">
        <v>62</v>
      </c>
      <c r="H19" t="s">
        <v>84</v>
      </c>
      <c r="I19" t="s">
        <v>30</v>
      </c>
      <c r="J19" t="s">
        <v>40</v>
      </c>
      <c r="K19" t="s">
        <v>40</v>
      </c>
      <c r="L19">
        <v>56</v>
      </c>
      <c r="M19">
        <v>15</v>
      </c>
      <c r="N19">
        <v>2000</v>
      </c>
      <c r="O19">
        <v>2015</v>
      </c>
      <c r="P19" t="s">
        <v>140</v>
      </c>
      <c r="Q19" s="4" t="s">
        <v>685</v>
      </c>
      <c r="R19" t="s">
        <v>811</v>
      </c>
      <c r="S19" t="s">
        <v>812</v>
      </c>
      <c r="U19" s="2" t="s">
        <v>688</v>
      </c>
      <c r="X19" t="s">
        <v>59</v>
      </c>
    </row>
    <row r="20" spans="1:24" ht="14.4">
      <c r="A20">
        <v>0.05</v>
      </c>
      <c r="B20" t="s">
        <v>158</v>
      </c>
      <c r="C20">
        <v>31.565592805918602</v>
      </c>
      <c r="D20" s="9">
        <v>117.658255149897</v>
      </c>
      <c r="E20" t="s">
        <v>47</v>
      </c>
      <c r="F20" t="s">
        <v>159</v>
      </c>
      <c r="G20" t="s">
        <v>49</v>
      </c>
      <c r="H20" t="s">
        <v>84</v>
      </c>
      <c r="I20" t="s">
        <v>30</v>
      </c>
      <c r="J20" t="s">
        <v>40</v>
      </c>
      <c r="K20" t="s">
        <v>40</v>
      </c>
      <c r="L20">
        <v>1</v>
      </c>
      <c r="M20">
        <f t="shared" ref="M20:M40" si="1">O20-N20</f>
        <v>36</v>
      </c>
      <c r="N20">
        <v>1980</v>
      </c>
      <c r="O20">
        <v>2016</v>
      </c>
      <c r="P20" t="s">
        <v>140</v>
      </c>
      <c r="Q20" s="8" t="s">
        <v>160</v>
      </c>
      <c r="R20" t="s">
        <v>161</v>
      </c>
      <c r="S20" t="s">
        <v>162</v>
      </c>
      <c r="T20" t="s">
        <v>163</v>
      </c>
      <c r="U20" s="2" t="s">
        <v>164</v>
      </c>
      <c r="V20" t="s">
        <v>335</v>
      </c>
      <c r="X20" t="s">
        <v>59</v>
      </c>
    </row>
    <row r="21" spans="1:24" ht="14.4">
      <c r="A21">
        <v>0.03</v>
      </c>
      <c r="B21" t="s">
        <v>166</v>
      </c>
      <c r="C21">
        <v>43.369140428149798</v>
      </c>
      <c r="D21">
        <v>-87.119313748859597</v>
      </c>
      <c r="E21" t="s">
        <v>47</v>
      </c>
      <c r="F21" t="s">
        <v>167</v>
      </c>
      <c r="G21" t="s">
        <v>62</v>
      </c>
      <c r="H21" t="s">
        <v>84</v>
      </c>
      <c r="I21" t="s">
        <v>30</v>
      </c>
      <c r="J21" t="s">
        <v>40</v>
      </c>
      <c r="K21" t="s">
        <v>40</v>
      </c>
      <c r="L21">
        <v>1</v>
      </c>
      <c r="M21">
        <f t="shared" si="1"/>
        <v>13</v>
      </c>
      <c r="N21">
        <v>2003</v>
      </c>
      <c r="O21">
        <v>2016</v>
      </c>
      <c r="P21" t="s">
        <v>140</v>
      </c>
      <c r="Q21" s="4" t="s">
        <v>170</v>
      </c>
      <c r="R21" t="s">
        <v>171</v>
      </c>
      <c r="S21" t="s">
        <v>812</v>
      </c>
      <c r="T21" t="s">
        <v>173</v>
      </c>
      <c r="U21" s="2" t="s">
        <v>174</v>
      </c>
      <c r="X21" t="s">
        <v>59</v>
      </c>
    </row>
    <row r="22" spans="1:24" ht="14.4">
      <c r="A22">
        <v>-0.03</v>
      </c>
      <c r="B22" t="s">
        <v>175</v>
      </c>
      <c r="C22">
        <v>26.952503469258499</v>
      </c>
      <c r="D22">
        <v>-80.8176710733824</v>
      </c>
      <c r="E22" t="s">
        <v>47</v>
      </c>
      <c r="F22" t="s">
        <v>167</v>
      </c>
      <c r="G22" t="s">
        <v>62</v>
      </c>
      <c r="H22" t="s">
        <v>84</v>
      </c>
      <c r="I22" t="s">
        <v>30</v>
      </c>
      <c r="J22" t="s">
        <v>40</v>
      </c>
      <c r="K22" t="s">
        <v>40</v>
      </c>
      <c r="L22">
        <v>1</v>
      </c>
      <c r="M22">
        <f t="shared" si="1"/>
        <v>13</v>
      </c>
      <c r="N22">
        <v>2003</v>
      </c>
      <c r="O22">
        <v>2016</v>
      </c>
      <c r="P22" t="s">
        <v>140</v>
      </c>
      <c r="Q22" s="4" t="s">
        <v>170</v>
      </c>
      <c r="R22" t="s">
        <v>171</v>
      </c>
      <c r="S22" t="s">
        <v>812</v>
      </c>
      <c r="T22" t="s">
        <v>173</v>
      </c>
      <c r="U22" s="2" t="s">
        <v>174</v>
      </c>
      <c r="X22" t="s">
        <v>59</v>
      </c>
    </row>
    <row r="23" spans="1:24" ht="14.4">
      <c r="A23">
        <v>0.02</v>
      </c>
      <c r="B23" t="s">
        <v>176</v>
      </c>
      <c r="C23">
        <v>43.207544751853398</v>
      </c>
      <c r="D23">
        <v>-75.922386118070307</v>
      </c>
      <c r="E23" t="s">
        <v>47</v>
      </c>
      <c r="F23" t="s">
        <v>167</v>
      </c>
      <c r="G23" t="s">
        <v>62</v>
      </c>
      <c r="H23" t="s">
        <v>84</v>
      </c>
      <c r="I23" t="s">
        <v>30</v>
      </c>
      <c r="J23" t="s">
        <v>40</v>
      </c>
      <c r="K23" t="s">
        <v>40</v>
      </c>
      <c r="L23">
        <v>1</v>
      </c>
      <c r="M23">
        <f t="shared" si="1"/>
        <v>13</v>
      </c>
      <c r="N23">
        <v>2003</v>
      </c>
      <c r="O23">
        <v>2016</v>
      </c>
      <c r="P23" t="s">
        <v>140</v>
      </c>
      <c r="Q23" s="4" t="s">
        <v>170</v>
      </c>
      <c r="R23" t="s">
        <v>171</v>
      </c>
      <c r="S23" t="s">
        <v>812</v>
      </c>
      <c r="T23" t="s">
        <v>173</v>
      </c>
      <c r="U23" s="2" t="s">
        <v>174</v>
      </c>
      <c r="X23" t="s">
        <v>59</v>
      </c>
    </row>
    <row r="24" spans="1:24" ht="14.4">
      <c r="A24">
        <v>3.5000000000000003E-2</v>
      </c>
      <c r="B24" t="s">
        <v>60</v>
      </c>
      <c r="C24">
        <v>55.689302269141699</v>
      </c>
      <c r="D24" s="9">
        <v>14.8641169214791</v>
      </c>
      <c r="E24" t="s">
        <v>37</v>
      </c>
      <c r="F24" t="s">
        <v>177</v>
      </c>
      <c r="G24" t="s">
        <v>103</v>
      </c>
      <c r="H24" t="s">
        <v>84</v>
      </c>
      <c r="I24" t="s">
        <v>137</v>
      </c>
      <c r="J24" t="s">
        <v>31</v>
      </c>
      <c r="K24" t="s">
        <v>31</v>
      </c>
      <c r="L24">
        <v>8</v>
      </c>
      <c r="M24">
        <f t="shared" si="1"/>
        <v>41</v>
      </c>
      <c r="N24">
        <v>1973</v>
      </c>
      <c r="O24">
        <v>2014</v>
      </c>
      <c r="P24" t="s">
        <v>140</v>
      </c>
      <c r="Q24" s="4" t="s">
        <v>178</v>
      </c>
      <c r="R24" t="s">
        <v>813</v>
      </c>
      <c r="S24" t="s">
        <v>275</v>
      </c>
      <c r="U24" s="2" t="s">
        <v>181</v>
      </c>
      <c r="X24" t="s">
        <v>59</v>
      </c>
    </row>
    <row r="25" spans="1:24" ht="14.4">
      <c r="A25">
        <v>3.2000000000000001E-2</v>
      </c>
      <c r="B25" t="s">
        <v>60</v>
      </c>
      <c r="C25">
        <v>55.689302269141699</v>
      </c>
      <c r="D25" s="9">
        <v>14.8641169214791</v>
      </c>
      <c r="E25" t="s">
        <v>37</v>
      </c>
      <c r="F25" t="s">
        <v>177</v>
      </c>
      <c r="G25" t="s">
        <v>103</v>
      </c>
      <c r="H25" t="s">
        <v>84</v>
      </c>
      <c r="I25" t="s">
        <v>30</v>
      </c>
      <c r="J25" t="s">
        <v>31</v>
      </c>
      <c r="K25" t="s">
        <v>31</v>
      </c>
      <c r="L25">
        <v>8</v>
      </c>
      <c r="M25">
        <f t="shared" si="1"/>
        <v>41</v>
      </c>
      <c r="N25">
        <v>1973</v>
      </c>
      <c r="O25">
        <v>2014</v>
      </c>
      <c r="P25" t="s">
        <v>140</v>
      </c>
      <c r="Q25" s="4" t="s">
        <v>178</v>
      </c>
      <c r="R25" t="s">
        <v>813</v>
      </c>
      <c r="S25" t="s">
        <v>275</v>
      </c>
      <c r="U25" s="2" t="s">
        <v>181</v>
      </c>
      <c r="X25" t="s">
        <v>59</v>
      </c>
    </row>
    <row r="26" spans="1:24" ht="14.4">
      <c r="A26">
        <v>5.8999999999999997E-2</v>
      </c>
      <c r="B26" t="s">
        <v>184</v>
      </c>
      <c r="C26">
        <v>31.208251638019</v>
      </c>
      <c r="D26" s="9">
        <v>120.159551563771</v>
      </c>
      <c r="E26" t="s">
        <v>47</v>
      </c>
      <c r="F26" t="s">
        <v>185</v>
      </c>
      <c r="G26" t="s">
        <v>62</v>
      </c>
      <c r="H26" t="s">
        <v>84</v>
      </c>
      <c r="I26" t="s">
        <v>30</v>
      </c>
      <c r="J26" t="s">
        <v>31</v>
      </c>
      <c r="K26" t="s">
        <v>31</v>
      </c>
      <c r="L26">
        <v>1</v>
      </c>
      <c r="M26">
        <f t="shared" si="1"/>
        <v>11</v>
      </c>
      <c r="N26">
        <v>2002</v>
      </c>
      <c r="O26">
        <v>2013</v>
      </c>
      <c r="P26" t="s">
        <v>140</v>
      </c>
      <c r="Q26" s="4" t="s">
        <v>188</v>
      </c>
      <c r="R26" t="s">
        <v>189</v>
      </c>
      <c r="S26" t="s">
        <v>190</v>
      </c>
      <c r="T26" t="s">
        <v>191</v>
      </c>
      <c r="U26" s="2" t="s">
        <v>192</v>
      </c>
      <c r="X26" t="s">
        <v>59</v>
      </c>
    </row>
    <row r="27" spans="1:24" ht="14.4">
      <c r="A27">
        <v>0.01</v>
      </c>
      <c r="B27" t="s">
        <v>194</v>
      </c>
      <c r="C27">
        <v>71.376999999999995</v>
      </c>
      <c r="D27">
        <v>-75.093000000000004</v>
      </c>
      <c r="E27" t="s">
        <v>47</v>
      </c>
      <c r="F27" t="s">
        <v>177</v>
      </c>
      <c r="G27" t="s">
        <v>103</v>
      </c>
      <c r="H27" t="s">
        <v>29</v>
      </c>
      <c r="I27" t="s">
        <v>195</v>
      </c>
      <c r="J27" t="s">
        <v>31</v>
      </c>
      <c r="K27" t="s">
        <v>31</v>
      </c>
      <c r="L27">
        <v>1</v>
      </c>
      <c r="M27">
        <f t="shared" si="1"/>
        <v>26</v>
      </c>
      <c r="N27">
        <v>1988</v>
      </c>
      <c r="O27">
        <v>2014</v>
      </c>
      <c r="P27" t="s">
        <v>140</v>
      </c>
      <c r="Q27" s="14" t="s">
        <v>197</v>
      </c>
      <c r="R27" t="s">
        <v>814</v>
      </c>
      <c r="S27" t="s">
        <v>815</v>
      </c>
      <c r="T27" t="s">
        <v>200</v>
      </c>
      <c r="U27" s="2" t="s">
        <v>201</v>
      </c>
      <c r="X27" t="s">
        <v>59</v>
      </c>
    </row>
    <row r="28" spans="1:24" ht="14.4">
      <c r="A28">
        <v>7.6999999999999999E-2</v>
      </c>
      <c r="B28" t="s">
        <v>203</v>
      </c>
      <c r="C28">
        <v>41.381999999999998</v>
      </c>
      <c r="D28">
        <v>-75.292000000000002</v>
      </c>
      <c r="E28" t="s">
        <v>47</v>
      </c>
      <c r="F28" t="s">
        <v>177</v>
      </c>
      <c r="G28" t="s">
        <v>103</v>
      </c>
      <c r="H28" t="s">
        <v>29</v>
      </c>
      <c r="I28" t="s">
        <v>195</v>
      </c>
      <c r="J28" t="s">
        <v>31</v>
      </c>
      <c r="K28" t="s">
        <v>31</v>
      </c>
      <c r="L28">
        <v>1</v>
      </c>
      <c r="M28">
        <f t="shared" si="1"/>
        <v>26</v>
      </c>
      <c r="N28">
        <v>1988</v>
      </c>
      <c r="O28">
        <v>2014</v>
      </c>
      <c r="P28" t="s">
        <v>140</v>
      </c>
      <c r="Q28" s="14" t="s">
        <v>197</v>
      </c>
      <c r="R28" t="s">
        <v>814</v>
      </c>
      <c r="S28" t="s">
        <v>815</v>
      </c>
      <c r="T28" t="s">
        <v>200</v>
      </c>
      <c r="U28" s="2" t="s">
        <v>201</v>
      </c>
      <c r="X28" t="s">
        <v>59</v>
      </c>
    </row>
    <row r="29" spans="1:24" ht="14.4">
      <c r="A29">
        <v>3.2000000000000001E-2</v>
      </c>
      <c r="B29" t="s">
        <v>70</v>
      </c>
      <c r="C29">
        <v>34</v>
      </c>
      <c r="D29">
        <v>79</v>
      </c>
      <c r="E29" t="s">
        <v>37</v>
      </c>
      <c r="F29" t="s">
        <v>204</v>
      </c>
      <c r="G29" t="s">
        <v>49</v>
      </c>
      <c r="H29" t="s">
        <v>84</v>
      </c>
      <c r="I29" t="s">
        <v>30</v>
      </c>
      <c r="J29" t="s">
        <v>31</v>
      </c>
      <c r="K29" t="s">
        <v>31</v>
      </c>
      <c r="L29">
        <v>81</v>
      </c>
      <c r="M29">
        <f t="shared" si="1"/>
        <v>38</v>
      </c>
      <c r="N29">
        <v>1980</v>
      </c>
      <c r="O29">
        <v>2018</v>
      </c>
      <c r="P29" t="s">
        <v>140</v>
      </c>
      <c r="Q29" s="8" t="s">
        <v>206</v>
      </c>
      <c r="R29" t="s">
        <v>816</v>
      </c>
      <c r="S29" t="s">
        <v>208</v>
      </c>
      <c r="T29" t="s">
        <v>209</v>
      </c>
      <c r="U29" s="2" t="s">
        <v>210</v>
      </c>
      <c r="V29" t="s">
        <v>211</v>
      </c>
      <c r="X29" t="s">
        <v>59</v>
      </c>
    </row>
    <row r="30" spans="1:24" ht="14.4">
      <c r="A30">
        <v>0.04</v>
      </c>
      <c r="B30" t="s">
        <v>82</v>
      </c>
      <c r="C30">
        <v>34.3411033236398</v>
      </c>
      <c r="D30" s="9">
        <v>103.52721500615201</v>
      </c>
      <c r="E30" t="s">
        <v>37</v>
      </c>
      <c r="F30" t="s">
        <v>213</v>
      </c>
      <c r="G30" t="s">
        <v>49</v>
      </c>
      <c r="H30" t="s">
        <v>29</v>
      </c>
      <c r="I30" t="s">
        <v>30</v>
      </c>
      <c r="J30" t="s">
        <v>40</v>
      </c>
      <c r="K30" t="s">
        <v>40</v>
      </c>
      <c r="L30">
        <v>91</v>
      </c>
      <c r="M30">
        <f t="shared" si="1"/>
        <v>39</v>
      </c>
      <c r="N30">
        <v>1979</v>
      </c>
      <c r="O30">
        <v>2018</v>
      </c>
      <c r="P30" t="s">
        <v>140</v>
      </c>
      <c r="Q30" s="14" t="s">
        <v>214</v>
      </c>
      <c r="R30" t="s">
        <v>808</v>
      </c>
      <c r="S30" t="s">
        <v>143</v>
      </c>
      <c r="U30" s="2" t="s">
        <v>217</v>
      </c>
      <c r="V30" t="s">
        <v>211</v>
      </c>
      <c r="X30" t="s">
        <v>59</v>
      </c>
    </row>
    <row r="31" spans="1:24" ht="14.4">
      <c r="A31">
        <v>2.4E-2</v>
      </c>
      <c r="B31" t="s">
        <v>26</v>
      </c>
      <c r="C31" s="8">
        <v>32</v>
      </c>
      <c r="D31" s="9">
        <v>-35</v>
      </c>
      <c r="E31" t="s">
        <v>26</v>
      </c>
      <c r="F31" t="s">
        <v>213</v>
      </c>
      <c r="G31" t="s">
        <v>49</v>
      </c>
      <c r="H31" t="s">
        <v>84</v>
      </c>
      <c r="I31" t="s">
        <v>30</v>
      </c>
      <c r="J31" t="s">
        <v>40</v>
      </c>
      <c r="K31" t="s">
        <v>40</v>
      </c>
      <c r="L31">
        <v>92245</v>
      </c>
      <c r="M31">
        <f t="shared" si="1"/>
        <v>39</v>
      </c>
      <c r="N31">
        <v>1981</v>
      </c>
      <c r="O31">
        <v>2020</v>
      </c>
      <c r="P31" t="s">
        <v>140</v>
      </c>
      <c r="Q31" s="14" t="s">
        <v>221</v>
      </c>
      <c r="R31" t="s">
        <v>222</v>
      </c>
      <c r="S31" t="s">
        <v>223</v>
      </c>
      <c r="U31" s="2" t="s">
        <v>224</v>
      </c>
      <c r="X31" t="s">
        <v>59</v>
      </c>
    </row>
    <row r="32" spans="1:24" ht="14.4">
      <c r="A32">
        <v>4.5999999999999999E-2</v>
      </c>
      <c r="B32" t="s">
        <v>225</v>
      </c>
      <c r="C32">
        <v>47.6136432470812</v>
      </c>
      <c r="D32" s="9">
        <v>9.3988715367677091</v>
      </c>
      <c r="E32" t="s">
        <v>47</v>
      </c>
      <c r="F32" t="s">
        <v>177</v>
      </c>
      <c r="G32" t="s">
        <v>103</v>
      </c>
      <c r="H32" t="s">
        <v>84</v>
      </c>
      <c r="I32" t="s">
        <v>30</v>
      </c>
      <c r="J32" t="s">
        <v>40</v>
      </c>
      <c r="K32" t="s">
        <v>40</v>
      </c>
      <c r="L32">
        <v>1</v>
      </c>
      <c r="M32">
        <f t="shared" si="1"/>
        <v>30</v>
      </c>
      <c r="N32">
        <v>1981</v>
      </c>
      <c r="O32">
        <v>2011</v>
      </c>
      <c r="P32" t="s">
        <v>226</v>
      </c>
      <c r="Q32" s="14" t="s">
        <v>227</v>
      </c>
      <c r="R32" t="s">
        <v>228</v>
      </c>
      <c r="S32" t="s">
        <v>229</v>
      </c>
      <c r="T32" t="s">
        <v>230</v>
      </c>
      <c r="U32" s="2" t="s">
        <v>231</v>
      </c>
      <c r="X32" t="s">
        <v>59</v>
      </c>
    </row>
    <row r="33" spans="1:24" ht="14.4">
      <c r="A33">
        <v>0.1</v>
      </c>
      <c r="B33" t="s">
        <v>70</v>
      </c>
      <c r="C33">
        <v>31.675255626368699</v>
      </c>
      <c r="D33" s="9">
        <v>87.801174559325503</v>
      </c>
      <c r="E33" t="s">
        <v>37</v>
      </c>
      <c r="F33" t="s">
        <v>232</v>
      </c>
      <c r="G33" t="s">
        <v>49</v>
      </c>
      <c r="H33" t="s">
        <v>29</v>
      </c>
      <c r="I33" t="s">
        <v>30</v>
      </c>
      <c r="J33" t="s">
        <v>40</v>
      </c>
      <c r="K33" t="s">
        <v>40</v>
      </c>
      <c r="L33">
        <v>298</v>
      </c>
      <c r="M33">
        <f t="shared" si="1"/>
        <v>22</v>
      </c>
      <c r="N33">
        <v>2000</v>
      </c>
      <c r="O33">
        <v>2022</v>
      </c>
      <c r="P33" t="s">
        <v>226</v>
      </c>
      <c r="Q33" s="14" t="s">
        <v>233</v>
      </c>
      <c r="R33" t="s">
        <v>234</v>
      </c>
      <c r="S33" t="s">
        <v>235</v>
      </c>
      <c r="T33" t="s">
        <v>236</v>
      </c>
      <c r="U33" s="2" t="s">
        <v>237</v>
      </c>
      <c r="X33" t="s">
        <v>59</v>
      </c>
    </row>
    <row r="34" spans="1:24" ht="14.4">
      <c r="A34">
        <v>0.05</v>
      </c>
      <c r="B34" t="s">
        <v>70</v>
      </c>
      <c r="C34">
        <v>31.675255626368699</v>
      </c>
      <c r="D34" s="9">
        <v>87.801174559325503</v>
      </c>
      <c r="E34" t="s">
        <v>37</v>
      </c>
      <c r="F34" t="s">
        <v>232</v>
      </c>
      <c r="G34" t="s">
        <v>49</v>
      </c>
      <c r="H34" t="s">
        <v>29</v>
      </c>
      <c r="I34" t="s">
        <v>30</v>
      </c>
      <c r="J34" t="s">
        <v>31</v>
      </c>
      <c r="K34" t="s">
        <v>31</v>
      </c>
      <c r="L34">
        <v>298</v>
      </c>
      <c r="M34">
        <f t="shared" si="1"/>
        <v>22</v>
      </c>
      <c r="N34">
        <v>2000</v>
      </c>
      <c r="O34">
        <v>2022</v>
      </c>
      <c r="P34" t="s">
        <v>226</v>
      </c>
      <c r="Q34" s="14" t="s">
        <v>233</v>
      </c>
      <c r="R34" t="s">
        <v>234</v>
      </c>
      <c r="S34" t="s">
        <v>235</v>
      </c>
      <c r="T34" t="s">
        <v>238</v>
      </c>
      <c r="U34" s="2" t="s">
        <v>237</v>
      </c>
      <c r="X34" t="s">
        <v>59</v>
      </c>
    </row>
    <row r="35" spans="1:24" ht="14.4">
      <c r="A35">
        <v>-0.08</v>
      </c>
      <c r="B35" t="s">
        <v>70</v>
      </c>
      <c r="C35">
        <v>31.675255626368699</v>
      </c>
      <c r="D35" s="9">
        <v>87.801174559325503</v>
      </c>
      <c r="E35" t="s">
        <v>37</v>
      </c>
      <c r="F35" t="s">
        <v>232</v>
      </c>
      <c r="G35" t="s">
        <v>49</v>
      </c>
      <c r="H35" t="s">
        <v>29</v>
      </c>
      <c r="I35" t="s">
        <v>30</v>
      </c>
      <c r="J35" t="s">
        <v>73</v>
      </c>
      <c r="K35" t="s">
        <v>73</v>
      </c>
      <c r="L35">
        <v>298</v>
      </c>
      <c r="M35">
        <f t="shared" si="1"/>
        <v>22</v>
      </c>
      <c r="N35">
        <v>2000</v>
      </c>
      <c r="O35">
        <v>2022</v>
      </c>
      <c r="P35" t="s">
        <v>226</v>
      </c>
      <c r="Q35" s="14" t="s">
        <v>233</v>
      </c>
      <c r="R35" t="s">
        <v>234</v>
      </c>
      <c r="S35" t="s">
        <v>235</v>
      </c>
      <c r="T35" t="s">
        <v>238</v>
      </c>
      <c r="U35" s="2" t="s">
        <v>237</v>
      </c>
      <c r="X35" t="s">
        <v>59</v>
      </c>
    </row>
    <row r="36" spans="1:24" ht="14.4">
      <c r="A36">
        <v>0.19</v>
      </c>
      <c r="B36" t="s">
        <v>70</v>
      </c>
      <c r="C36">
        <v>31.675255626368699</v>
      </c>
      <c r="D36" s="9">
        <v>87.801174559325503</v>
      </c>
      <c r="E36" t="s">
        <v>37</v>
      </c>
      <c r="F36" t="s">
        <v>232</v>
      </c>
      <c r="G36" t="s">
        <v>49</v>
      </c>
      <c r="H36" t="s">
        <v>29</v>
      </c>
      <c r="I36" t="s">
        <v>30</v>
      </c>
      <c r="J36" t="s">
        <v>81</v>
      </c>
      <c r="K36" t="s">
        <v>81</v>
      </c>
      <c r="L36">
        <v>298</v>
      </c>
      <c r="M36">
        <f t="shared" si="1"/>
        <v>22</v>
      </c>
      <c r="N36">
        <v>2000</v>
      </c>
      <c r="O36">
        <v>2022</v>
      </c>
      <c r="P36" t="s">
        <v>226</v>
      </c>
      <c r="Q36" s="14" t="s">
        <v>233</v>
      </c>
      <c r="R36" t="s">
        <v>234</v>
      </c>
      <c r="S36" t="s">
        <v>235</v>
      </c>
      <c r="T36" t="s">
        <v>238</v>
      </c>
      <c r="U36" s="2" t="s">
        <v>237</v>
      </c>
      <c r="X36" t="s">
        <v>59</v>
      </c>
    </row>
    <row r="37" spans="1:24" ht="14.4">
      <c r="A37">
        <v>0.4</v>
      </c>
      <c r="B37" t="s">
        <v>70</v>
      </c>
      <c r="C37">
        <v>31.675255626368699</v>
      </c>
      <c r="D37" s="9">
        <v>87.801174559325503</v>
      </c>
      <c r="E37" t="s">
        <v>37</v>
      </c>
      <c r="F37" t="s">
        <v>232</v>
      </c>
      <c r="G37" t="s">
        <v>49</v>
      </c>
      <c r="H37" t="s">
        <v>29</v>
      </c>
      <c r="I37" t="s">
        <v>30</v>
      </c>
      <c r="J37" t="s">
        <v>80</v>
      </c>
      <c r="K37" t="s">
        <v>80</v>
      </c>
      <c r="L37">
        <v>298</v>
      </c>
      <c r="M37">
        <f t="shared" si="1"/>
        <v>22</v>
      </c>
      <c r="N37">
        <v>2000</v>
      </c>
      <c r="O37">
        <v>2022</v>
      </c>
      <c r="P37" t="s">
        <v>226</v>
      </c>
      <c r="Q37" s="14" t="s">
        <v>233</v>
      </c>
      <c r="R37" t="s">
        <v>234</v>
      </c>
      <c r="S37" t="s">
        <v>235</v>
      </c>
      <c r="T37" t="s">
        <v>238</v>
      </c>
      <c r="U37" s="2" t="s">
        <v>237</v>
      </c>
      <c r="X37" t="s">
        <v>59</v>
      </c>
    </row>
    <row r="38" spans="1:24" ht="14.4">
      <c r="A38">
        <v>0.01</v>
      </c>
      <c r="B38" t="s">
        <v>817</v>
      </c>
      <c r="C38">
        <v>-36.487302255059902</v>
      </c>
      <c r="D38">
        <v>-71.977205145355001</v>
      </c>
      <c r="E38" t="s">
        <v>37</v>
      </c>
      <c r="F38" t="s">
        <v>185</v>
      </c>
      <c r="G38" t="s">
        <v>62</v>
      </c>
      <c r="H38" t="s">
        <v>818</v>
      </c>
      <c r="I38" t="s">
        <v>30</v>
      </c>
      <c r="J38" t="s">
        <v>40</v>
      </c>
      <c r="K38" t="s">
        <v>40</v>
      </c>
      <c r="L38">
        <v>14</v>
      </c>
      <c r="M38">
        <f t="shared" si="1"/>
        <v>16</v>
      </c>
      <c r="N38">
        <v>2000</v>
      </c>
      <c r="O38">
        <v>2016</v>
      </c>
      <c r="P38" t="s">
        <v>226</v>
      </c>
      <c r="Q38" s="14" t="s">
        <v>241</v>
      </c>
      <c r="R38" t="s">
        <v>242</v>
      </c>
      <c r="S38" t="s">
        <v>812</v>
      </c>
      <c r="T38" t="s">
        <v>243</v>
      </c>
      <c r="U38" s="2" t="s">
        <v>244</v>
      </c>
      <c r="X38" t="s">
        <v>59</v>
      </c>
    </row>
    <row r="39" spans="1:24" ht="14.4">
      <c r="A39">
        <v>7.3999999999999996E-2</v>
      </c>
      <c r="B39" t="s">
        <v>819</v>
      </c>
      <c r="C39">
        <v>36.961645143015197</v>
      </c>
      <c r="D39" s="9">
        <v>100.17698339147699</v>
      </c>
      <c r="E39" t="s">
        <v>47</v>
      </c>
      <c r="F39" t="s">
        <v>213</v>
      </c>
      <c r="G39" t="s">
        <v>49</v>
      </c>
      <c r="H39" t="s">
        <v>84</v>
      </c>
      <c r="I39" t="s">
        <v>30</v>
      </c>
      <c r="J39" t="s">
        <v>40</v>
      </c>
      <c r="K39" t="s">
        <v>40</v>
      </c>
      <c r="L39">
        <v>1</v>
      </c>
      <c r="M39">
        <f t="shared" si="1"/>
        <v>33</v>
      </c>
      <c r="N39">
        <v>1979</v>
      </c>
      <c r="O39">
        <v>2012</v>
      </c>
      <c r="P39" t="s">
        <v>226</v>
      </c>
      <c r="Q39" s="14" t="s">
        <v>820</v>
      </c>
      <c r="R39" t="s">
        <v>247</v>
      </c>
      <c r="S39" t="s">
        <v>248</v>
      </c>
      <c r="T39" t="s">
        <v>249</v>
      </c>
      <c r="U39" s="2" t="s">
        <v>250</v>
      </c>
      <c r="X39" t="s">
        <v>59</v>
      </c>
    </row>
    <row r="40" spans="1:24" ht="14.4">
      <c r="A40">
        <v>3.3000000000000002E-2</v>
      </c>
      <c r="B40" t="s">
        <v>252</v>
      </c>
      <c r="C40">
        <v>44.888917318150497</v>
      </c>
      <c r="D40">
        <v>-13.5323455981917</v>
      </c>
      <c r="E40" t="s">
        <v>37</v>
      </c>
      <c r="F40" t="s">
        <v>213</v>
      </c>
      <c r="G40" t="s">
        <v>49</v>
      </c>
      <c r="H40" t="s">
        <v>84</v>
      </c>
      <c r="I40" t="s">
        <v>30</v>
      </c>
      <c r="J40" t="s">
        <v>31</v>
      </c>
      <c r="K40" t="s">
        <v>31</v>
      </c>
      <c r="L40">
        <v>422</v>
      </c>
      <c r="M40">
        <f t="shared" si="1"/>
        <v>36</v>
      </c>
      <c r="N40">
        <v>1980</v>
      </c>
      <c r="O40">
        <v>2016</v>
      </c>
      <c r="P40" t="s">
        <v>226</v>
      </c>
      <c r="Q40" s="14" t="s">
        <v>253</v>
      </c>
      <c r="R40" t="s">
        <v>813</v>
      </c>
      <c r="S40" t="s">
        <v>76</v>
      </c>
      <c r="U40" s="2" t="s">
        <v>256</v>
      </c>
      <c r="X40" t="s">
        <v>59</v>
      </c>
    </row>
    <row r="41" spans="1:24" ht="14.4">
      <c r="A41">
        <v>4.0000000000000001E-3</v>
      </c>
      <c r="B41" t="s">
        <v>257</v>
      </c>
      <c r="C41">
        <v>24.855210616855999</v>
      </c>
      <c r="D41" s="9">
        <v>102.695705895234</v>
      </c>
      <c r="E41" t="s">
        <v>47</v>
      </c>
      <c r="F41" t="s">
        <v>185</v>
      </c>
      <c r="G41" t="s">
        <v>62</v>
      </c>
      <c r="H41" t="s">
        <v>84</v>
      </c>
      <c r="I41" t="s">
        <v>134</v>
      </c>
      <c r="J41" t="s">
        <v>40</v>
      </c>
      <c r="K41" t="s">
        <v>40</v>
      </c>
      <c r="L41">
        <v>1</v>
      </c>
      <c r="M41">
        <v>18</v>
      </c>
      <c r="N41">
        <v>2001</v>
      </c>
      <c r="O41">
        <v>2018</v>
      </c>
      <c r="P41" t="s">
        <v>140</v>
      </c>
      <c r="Q41" s="14" t="s">
        <v>821</v>
      </c>
      <c r="R41" t="s">
        <v>516</v>
      </c>
      <c r="S41" t="s">
        <v>55</v>
      </c>
      <c r="U41" s="2" t="s">
        <v>260</v>
      </c>
    </row>
    <row r="42" spans="1:24" ht="14.4">
      <c r="A42">
        <v>5.8000000000000003E-2</v>
      </c>
      <c r="B42" t="s">
        <v>60</v>
      </c>
      <c r="C42">
        <v>55.689302269141699</v>
      </c>
      <c r="D42" s="9">
        <v>14.8641169214791</v>
      </c>
      <c r="E42" t="s">
        <v>37</v>
      </c>
      <c r="F42" t="s">
        <v>271</v>
      </c>
      <c r="G42" t="s">
        <v>103</v>
      </c>
      <c r="H42" t="s">
        <v>272</v>
      </c>
      <c r="I42" t="s">
        <v>134</v>
      </c>
      <c r="J42" t="s">
        <v>40</v>
      </c>
      <c r="K42" t="s">
        <v>40</v>
      </c>
      <c r="L42">
        <v>10</v>
      </c>
      <c r="M42">
        <v>49</v>
      </c>
      <c r="N42">
        <v>1966</v>
      </c>
      <c r="O42">
        <v>2015</v>
      </c>
      <c r="P42" t="s">
        <v>140</v>
      </c>
      <c r="Q42" s="58" t="s">
        <v>273</v>
      </c>
      <c r="R42" t="s">
        <v>274</v>
      </c>
      <c r="S42" t="s">
        <v>275</v>
      </c>
      <c r="T42" t="s">
        <v>276</v>
      </c>
      <c r="U42" s="2" t="s">
        <v>277</v>
      </c>
    </row>
    <row r="43" spans="1:24" ht="14.4">
      <c r="A43">
        <v>0.111</v>
      </c>
      <c r="B43" t="s">
        <v>278</v>
      </c>
      <c r="C43">
        <v>44.124699999999997</v>
      </c>
      <c r="D43">
        <v>73.869299999999996</v>
      </c>
      <c r="E43" t="s">
        <v>37</v>
      </c>
      <c r="F43" t="s">
        <v>279</v>
      </c>
      <c r="G43" t="s">
        <v>62</v>
      </c>
      <c r="H43" t="s">
        <v>84</v>
      </c>
      <c r="I43" t="s">
        <v>30</v>
      </c>
      <c r="J43" t="s">
        <v>40</v>
      </c>
      <c r="K43" t="s">
        <v>40</v>
      </c>
      <c r="L43">
        <v>135</v>
      </c>
      <c r="M43">
        <v>39</v>
      </c>
      <c r="N43">
        <v>1984</v>
      </c>
      <c r="O43">
        <v>2023</v>
      </c>
      <c r="P43" t="s">
        <v>140</v>
      </c>
      <c r="Q43" s="14" t="s">
        <v>280</v>
      </c>
      <c r="R43" s="14" t="s">
        <v>281</v>
      </c>
      <c r="S43" t="s">
        <v>282</v>
      </c>
      <c r="T43" t="s">
        <v>822</v>
      </c>
      <c r="U43" s="2" t="s">
        <v>284</v>
      </c>
    </row>
    <row r="44" spans="1:24" ht="14.4">
      <c r="A44">
        <v>2.4E-2</v>
      </c>
      <c r="B44" t="s">
        <v>285</v>
      </c>
      <c r="C44" s="8">
        <v>0</v>
      </c>
      <c r="D44" s="8">
        <v>-153.6</v>
      </c>
      <c r="E44" t="s">
        <v>26</v>
      </c>
      <c r="F44" t="s">
        <v>62</v>
      </c>
      <c r="G44" t="s">
        <v>62</v>
      </c>
      <c r="I44" t="s">
        <v>30</v>
      </c>
      <c r="J44" t="s">
        <v>31</v>
      </c>
      <c r="K44" t="s">
        <v>31</v>
      </c>
      <c r="L44">
        <v>681</v>
      </c>
      <c r="M44">
        <v>20</v>
      </c>
      <c r="N44">
        <v>1996</v>
      </c>
      <c r="O44">
        <v>2015</v>
      </c>
      <c r="P44" t="s">
        <v>140</v>
      </c>
      <c r="Q44" s="14" t="s">
        <v>823</v>
      </c>
      <c r="R44" t="s">
        <v>289</v>
      </c>
      <c r="S44" t="s">
        <v>290</v>
      </c>
      <c r="T44" t="s">
        <v>291</v>
      </c>
      <c r="U44" s="2" t="s">
        <v>292</v>
      </c>
      <c r="X44" t="s">
        <v>294</v>
      </c>
    </row>
    <row r="45" spans="1:24" ht="14.4">
      <c r="A45">
        <v>0.03</v>
      </c>
      <c r="B45" t="s">
        <v>295</v>
      </c>
      <c r="C45" s="60">
        <v>63.988048198599699</v>
      </c>
      <c r="D45" s="60">
        <v>-111.339789777617</v>
      </c>
      <c r="E45" t="s">
        <v>37</v>
      </c>
      <c r="F45" t="s">
        <v>296</v>
      </c>
      <c r="G45" t="s">
        <v>62</v>
      </c>
      <c r="H45" t="s">
        <v>297</v>
      </c>
      <c r="I45" t="s">
        <v>30</v>
      </c>
      <c r="J45" t="s">
        <v>824</v>
      </c>
      <c r="K45" t="s">
        <v>31</v>
      </c>
      <c r="L45">
        <v>535</v>
      </c>
      <c r="M45">
        <f t="shared" ref="M45:M57" si="2">(O45-N45)</f>
        <v>37</v>
      </c>
      <c r="N45">
        <v>1984</v>
      </c>
      <c r="O45">
        <v>2021</v>
      </c>
      <c r="P45" t="s">
        <v>140</v>
      </c>
      <c r="Q45" s="14" t="s">
        <v>299</v>
      </c>
      <c r="R45" t="s">
        <v>300</v>
      </c>
      <c r="S45" t="s">
        <v>301</v>
      </c>
      <c r="T45" t="s">
        <v>302</v>
      </c>
      <c r="U45" s="2" t="s">
        <v>303</v>
      </c>
      <c r="X45" t="s">
        <v>294</v>
      </c>
    </row>
    <row r="46" spans="1:24" ht="14.4">
      <c r="A46">
        <v>0.05</v>
      </c>
      <c r="B46" t="s">
        <v>295</v>
      </c>
      <c r="C46" s="60">
        <v>63.988048198599699</v>
      </c>
      <c r="D46" s="60">
        <v>-111.339789777617</v>
      </c>
      <c r="E46" t="s">
        <v>37</v>
      </c>
      <c r="F46" t="s">
        <v>296</v>
      </c>
      <c r="G46" t="s">
        <v>62</v>
      </c>
      <c r="H46" t="s">
        <v>297</v>
      </c>
      <c r="I46" t="s">
        <v>134</v>
      </c>
      <c r="J46" t="s">
        <v>824</v>
      </c>
      <c r="K46" t="s">
        <v>31</v>
      </c>
      <c r="L46">
        <v>535</v>
      </c>
      <c r="M46">
        <f t="shared" si="2"/>
        <v>37</v>
      </c>
      <c r="N46">
        <v>1984</v>
      </c>
      <c r="O46">
        <v>2021</v>
      </c>
      <c r="P46" t="s">
        <v>140</v>
      </c>
      <c r="Q46" s="14" t="s">
        <v>299</v>
      </c>
      <c r="R46" t="s">
        <v>300</v>
      </c>
      <c r="S46" t="s">
        <v>301</v>
      </c>
      <c r="U46" s="2"/>
      <c r="X46" t="s">
        <v>294</v>
      </c>
    </row>
    <row r="47" spans="1:24" ht="14.4">
      <c r="A47">
        <v>0.03</v>
      </c>
      <c r="B47" t="s">
        <v>295</v>
      </c>
      <c r="C47" s="60">
        <v>63.988048198599699</v>
      </c>
      <c r="D47" s="60">
        <v>-111.339789777617</v>
      </c>
      <c r="E47" t="s">
        <v>37</v>
      </c>
      <c r="F47" t="s">
        <v>296</v>
      </c>
      <c r="G47" t="s">
        <v>62</v>
      </c>
      <c r="H47" t="s">
        <v>297</v>
      </c>
      <c r="I47" t="s">
        <v>30</v>
      </c>
      <c r="J47" t="s">
        <v>305</v>
      </c>
      <c r="K47" t="s">
        <v>31</v>
      </c>
      <c r="L47">
        <v>535</v>
      </c>
      <c r="M47">
        <f t="shared" si="2"/>
        <v>37</v>
      </c>
      <c r="N47">
        <v>1984</v>
      </c>
      <c r="O47">
        <v>2021</v>
      </c>
      <c r="P47" t="s">
        <v>140</v>
      </c>
      <c r="Q47" s="14" t="s">
        <v>299</v>
      </c>
      <c r="R47" t="s">
        <v>300</v>
      </c>
      <c r="S47" t="s">
        <v>301</v>
      </c>
      <c r="U47" s="2" t="s">
        <v>303</v>
      </c>
      <c r="X47" t="s">
        <v>294</v>
      </c>
    </row>
    <row r="48" spans="1:24" ht="14.4">
      <c r="A48">
        <v>0.06</v>
      </c>
      <c r="B48" t="s">
        <v>295</v>
      </c>
      <c r="C48" s="60">
        <v>63.988048198599699</v>
      </c>
      <c r="D48" s="60">
        <v>-111.339789777617</v>
      </c>
      <c r="E48" t="s">
        <v>37</v>
      </c>
      <c r="F48" t="s">
        <v>296</v>
      </c>
      <c r="G48" t="s">
        <v>62</v>
      </c>
      <c r="H48" t="s">
        <v>297</v>
      </c>
      <c r="I48" t="s">
        <v>134</v>
      </c>
      <c r="J48" t="s">
        <v>305</v>
      </c>
      <c r="K48" t="s">
        <v>31</v>
      </c>
      <c r="L48">
        <v>535</v>
      </c>
      <c r="M48">
        <f t="shared" si="2"/>
        <v>37</v>
      </c>
      <c r="N48">
        <v>1984</v>
      </c>
      <c r="O48">
        <v>2021</v>
      </c>
      <c r="P48" t="s">
        <v>140</v>
      </c>
      <c r="Q48" s="14" t="s">
        <v>299</v>
      </c>
      <c r="R48" t="s">
        <v>300</v>
      </c>
      <c r="S48" t="s">
        <v>301</v>
      </c>
      <c r="U48" s="2"/>
      <c r="X48" t="s">
        <v>294</v>
      </c>
    </row>
    <row r="49" spans="1:24" ht="14.4">
      <c r="A49">
        <v>0.13</v>
      </c>
      <c r="B49" t="s">
        <v>295</v>
      </c>
      <c r="C49" s="60">
        <v>63.988048198599699</v>
      </c>
      <c r="D49" s="60">
        <v>-111.339789777617</v>
      </c>
      <c r="E49" t="s">
        <v>37</v>
      </c>
      <c r="F49" t="s">
        <v>296</v>
      </c>
      <c r="G49" t="s">
        <v>62</v>
      </c>
      <c r="H49" t="s">
        <v>297</v>
      </c>
      <c r="I49" t="s">
        <v>30</v>
      </c>
      <c r="J49" t="s">
        <v>306</v>
      </c>
      <c r="K49" t="s">
        <v>80</v>
      </c>
      <c r="L49">
        <v>535</v>
      </c>
      <c r="M49">
        <f t="shared" si="2"/>
        <v>37</v>
      </c>
      <c r="N49">
        <v>1984</v>
      </c>
      <c r="O49">
        <v>2021</v>
      </c>
      <c r="P49" t="s">
        <v>140</v>
      </c>
      <c r="Q49" s="14" t="s">
        <v>299</v>
      </c>
      <c r="R49" t="s">
        <v>300</v>
      </c>
      <c r="S49" t="s">
        <v>301</v>
      </c>
      <c r="U49" s="2" t="s">
        <v>303</v>
      </c>
      <c r="X49" t="s">
        <v>294</v>
      </c>
    </row>
    <row r="50" spans="1:24" ht="14.4">
      <c r="A50">
        <v>0.27</v>
      </c>
      <c r="B50" t="s">
        <v>295</v>
      </c>
      <c r="C50" s="60">
        <v>63.988048198599699</v>
      </c>
      <c r="D50" s="60">
        <v>-111.339789777617</v>
      </c>
      <c r="E50" t="s">
        <v>37</v>
      </c>
      <c r="F50" t="s">
        <v>296</v>
      </c>
      <c r="G50" t="s">
        <v>62</v>
      </c>
      <c r="H50" t="s">
        <v>297</v>
      </c>
      <c r="I50" t="s">
        <v>134</v>
      </c>
      <c r="J50" t="s">
        <v>306</v>
      </c>
      <c r="K50" t="s">
        <v>80</v>
      </c>
      <c r="L50">
        <v>535</v>
      </c>
      <c r="M50">
        <f t="shared" si="2"/>
        <v>37</v>
      </c>
      <c r="N50">
        <v>1984</v>
      </c>
      <c r="O50">
        <v>2021</v>
      </c>
      <c r="P50" t="s">
        <v>140</v>
      </c>
      <c r="Q50" s="14" t="s">
        <v>299</v>
      </c>
      <c r="R50" t="s">
        <v>300</v>
      </c>
      <c r="S50" t="s">
        <v>301</v>
      </c>
      <c r="X50" t="s">
        <v>294</v>
      </c>
    </row>
    <row r="51" spans="1:24" ht="14.4">
      <c r="A51">
        <v>0.106</v>
      </c>
      <c r="B51" t="s">
        <v>825</v>
      </c>
      <c r="C51">
        <v>42.129661294406198</v>
      </c>
      <c r="D51" s="9">
        <v>12.2275032822394</v>
      </c>
      <c r="E51" t="s">
        <v>47</v>
      </c>
      <c r="F51" t="s">
        <v>296</v>
      </c>
      <c r="G51" t="s">
        <v>62</v>
      </c>
      <c r="H51" t="s">
        <v>84</v>
      </c>
      <c r="I51" t="s">
        <v>30</v>
      </c>
      <c r="J51" t="s">
        <v>40</v>
      </c>
      <c r="K51" t="s">
        <v>40</v>
      </c>
      <c r="L51">
        <v>1</v>
      </c>
      <c r="M51">
        <f t="shared" si="2"/>
        <v>35</v>
      </c>
      <c r="N51">
        <v>1984</v>
      </c>
      <c r="O51">
        <v>2019</v>
      </c>
      <c r="P51" t="s">
        <v>140</v>
      </c>
      <c r="Q51" s="14" t="s">
        <v>311</v>
      </c>
      <c r="R51" t="s">
        <v>309</v>
      </c>
      <c r="S51" t="s">
        <v>172</v>
      </c>
      <c r="T51" t="s">
        <v>826</v>
      </c>
      <c r="X51" t="s">
        <v>294</v>
      </c>
    </row>
    <row r="52" spans="1:24" ht="14.4">
      <c r="A52">
        <v>5.2999999999999999E-2</v>
      </c>
      <c r="B52" t="s">
        <v>825</v>
      </c>
      <c r="C52">
        <v>42.129661294406198</v>
      </c>
      <c r="D52" s="9">
        <v>12.2275032822394</v>
      </c>
      <c r="E52" t="s">
        <v>47</v>
      </c>
      <c r="F52" t="s">
        <v>296</v>
      </c>
      <c r="G52" t="s">
        <v>62</v>
      </c>
      <c r="H52" t="s">
        <v>84</v>
      </c>
      <c r="I52" t="s">
        <v>30</v>
      </c>
      <c r="J52" t="s">
        <v>40</v>
      </c>
      <c r="K52" t="s">
        <v>40</v>
      </c>
      <c r="L52">
        <v>1</v>
      </c>
      <c r="M52">
        <f t="shared" si="2"/>
        <v>35</v>
      </c>
      <c r="N52">
        <v>1984</v>
      </c>
      <c r="O52">
        <v>2019</v>
      </c>
      <c r="P52" t="s">
        <v>140</v>
      </c>
      <c r="Q52" s="14" t="s">
        <v>311</v>
      </c>
      <c r="R52" t="s">
        <v>309</v>
      </c>
      <c r="S52" t="s">
        <v>172</v>
      </c>
      <c r="T52" t="s">
        <v>827</v>
      </c>
      <c r="X52" t="s">
        <v>294</v>
      </c>
    </row>
    <row r="53" spans="1:24" ht="14.4">
      <c r="A53">
        <v>1.7999999999999999E-2</v>
      </c>
      <c r="B53" t="s">
        <v>312</v>
      </c>
      <c r="C53">
        <v>16.372397477367301</v>
      </c>
      <c r="D53" s="9">
        <v>103.07653763658899</v>
      </c>
      <c r="E53" t="s">
        <v>37</v>
      </c>
      <c r="F53" t="s">
        <v>62</v>
      </c>
      <c r="G53" t="s">
        <v>62</v>
      </c>
      <c r="H53" t="s">
        <v>313</v>
      </c>
      <c r="I53" t="s">
        <v>30</v>
      </c>
      <c r="J53" t="s">
        <v>148</v>
      </c>
      <c r="K53" t="s">
        <v>40</v>
      </c>
      <c r="L53">
        <v>80</v>
      </c>
      <c r="M53">
        <f t="shared" si="2"/>
        <v>34</v>
      </c>
      <c r="N53">
        <v>1986</v>
      </c>
      <c r="O53">
        <v>2020</v>
      </c>
      <c r="P53" t="s">
        <v>314</v>
      </c>
      <c r="Q53" s="14" t="s">
        <v>315</v>
      </c>
      <c r="R53" t="s">
        <v>316</v>
      </c>
      <c r="S53" t="s">
        <v>318</v>
      </c>
      <c r="U53" s="2" t="s">
        <v>317</v>
      </c>
      <c r="X53" t="s">
        <v>294</v>
      </c>
    </row>
    <row r="54" spans="1:24" ht="14.4">
      <c r="A54">
        <v>1.2999999999999999E-2</v>
      </c>
      <c r="B54" t="s">
        <v>312</v>
      </c>
      <c r="C54">
        <v>16.372397477367301</v>
      </c>
      <c r="D54" s="9">
        <v>103.07653763658899</v>
      </c>
      <c r="E54" t="s">
        <v>37</v>
      </c>
      <c r="F54" t="s">
        <v>62</v>
      </c>
      <c r="G54" t="s">
        <v>62</v>
      </c>
      <c r="H54" t="s">
        <v>313</v>
      </c>
      <c r="I54" t="s">
        <v>30</v>
      </c>
      <c r="J54" t="s">
        <v>155</v>
      </c>
      <c r="K54" t="s">
        <v>155</v>
      </c>
      <c r="L54">
        <v>80</v>
      </c>
      <c r="M54">
        <f t="shared" si="2"/>
        <v>34</v>
      </c>
      <c r="N54">
        <v>1986</v>
      </c>
      <c r="O54">
        <v>2020</v>
      </c>
      <c r="P54" t="s">
        <v>226</v>
      </c>
      <c r="Q54" s="14" t="s">
        <v>315</v>
      </c>
      <c r="R54" t="s">
        <v>316</v>
      </c>
      <c r="S54" t="s">
        <v>318</v>
      </c>
      <c r="U54" s="2" t="s">
        <v>317</v>
      </c>
      <c r="X54" t="s">
        <v>294</v>
      </c>
    </row>
    <row r="55" spans="1:24" ht="14.4">
      <c r="A55">
        <v>0.04</v>
      </c>
      <c r="B55" t="s">
        <v>60</v>
      </c>
      <c r="C55">
        <v>55.689302269141699</v>
      </c>
      <c r="D55" s="9">
        <v>14.8641169214791</v>
      </c>
      <c r="E55" t="s">
        <v>37</v>
      </c>
      <c r="F55" t="s">
        <v>62</v>
      </c>
      <c r="G55" t="s">
        <v>62</v>
      </c>
      <c r="H55" t="s">
        <v>313</v>
      </c>
      <c r="I55" t="s">
        <v>30</v>
      </c>
      <c r="J55" t="s">
        <v>135</v>
      </c>
      <c r="K55" t="s">
        <v>40</v>
      </c>
      <c r="L55">
        <v>51</v>
      </c>
      <c r="M55">
        <f t="shared" si="2"/>
        <v>38</v>
      </c>
      <c r="N55">
        <v>1981</v>
      </c>
      <c r="O55">
        <v>2019</v>
      </c>
      <c r="P55" t="s">
        <v>140</v>
      </c>
      <c r="Q55" s="14" t="s">
        <v>320</v>
      </c>
      <c r="R55" t="s">
        <v>321</v>
      </c>
      <c r="S55" t="s">
        <v>322</v>
      </c>
      <c r="U55" s="2" t="s">
        <v>323</v>
      </c>
      <c r="X55" t="s">
        <v>294</v>
      </c>
    </row>
    <row r="56" spans="1:24" ht="14.4">
      <c r="A56">
        <v>4.5999999999999999E-2</v>
      </c>
      <c r="B56" t="s">
        <v>60</v>
      </c>
      <c r="C56">
        <v>55.689302269141699</v>
      </c>
      <c r="D56" s="9">
        <v>14.8641169214791</v>
      </c>
      <c r="E56" t="s">
        <v>37</v>
      </c>
      <c r="F56" t="s">
        <v>62</v>
      </c>
      <c r="G56" t="s">
        <v>62</v>
      </c>
      <c r="H56" t="s">
        <v>313</v>
      </c>
      <c r="I56" t="s">
        <v>30</v>
      </c>
      <c r="J56" t="s">
        <v>31</v>
      </c>
      <c r="K56" t="s">
        <v>31</v>
      </c>
      <c r="L56">
        <v>51</v>
      </c>
      <c r="M56">
        <f t="shared" si="2"/>
        <v>38</v>
      </c>
      <c r="N56">
        <v>1981</v>
      </c>
      <c r="O56">
        <v>2019</v>
      </c>
      <c r="P56" t="s">
        <v>140</v>
      </c>
      <c r="Q56" s="14" t="s">
        <v>320</v>
      </c>
      <c r="R56" t="s">
        <v>321</v>
      </c>
      <c r="S56" t="s">
        <v>322</v>
      </c>
      <c r="U56" s="2" t="s">
        <v>323</v>
      </c>
      <c r="X56" t="s">
        <v>294</v>
      </c>
    </row>
    <row r="57" spans="1:24" ht="14.4">
      <c r="A57">
        <v>3.6999999999999998E-2</v>
      </c>
      <c r="B57" t="s">
        <v>36</v>
      </c>
      <c r="C57">
        <v>53.700410966266702</v>
      </c>
      <c r="D57" s="9">
        <v>18.467048700489102</v>
      </c>
      <c r="E57" t="s">
        <v>804</v>
      </c>
      <c r="F57" t="s">
        <v>828</v>
      </c>
      <c r="G57" t="s">
        <v>62</v>
      </c>
      <c r="H57" t="s">
        <v>84</v>
      </c>
      <c r="J57" t="s">
        <v>40</v>
      </c>
      <c r="K57" t="s">
        <v>40</v>
      </c>
      <c r="L57">
        <v>10</v>
      </c>
      <c r="M57">
        <f t="shared" si="2"/>
        <v>34</v>
      </c>
      <c r="N57">
        <v>1971</v>
      </c>
      <c r="O57">
        <v>2005</v>
      </c>
      <c r="P57" t="s">
        <v>140</v>
      </c>
      <c r="Q57" s="14" t="s">
        <v>829</v>
      </c>
      <c r="R57" t="s">
        <v>563</v>
      </c>
      <c r="S57" t="s">
        <v>327</v>
      </c>
      <c r="U57" s="2" t="s">
        <v>328</v>
      </c>
      <c r="X57" t="s">
        <v>294</v>
      </c>
    </row>
    <row r="58" spans="1:24" ht="14.4">
      <c r="A58" s="8">
        <v>4.2000000000000003E-2</v>
      </c>
      <c r="B58" s="8" t="s">
        <v>388</v>
      </c>
      <c r="C58" s="8">
        <v>27</v>
      </c>
      <c r="D58" s="8">
        <v>105</v>
      </c>
      <c r="E58" s="8" t="s">
        <v>37</v>
      </c>
      <c r="F58" s="8" t="s">
        <v>445</v>
      </c>
      <c r="G58" t="s">
        <v>62</v>
      </c>
      <c r="H58" s="8" t="s">
        <v>446</v>
      </c>
      <c r="I58" s="8" t="s">
        <v>30</v>
      </c>
      <c r="J58" s="8" t="s">
        <v>148</v>
      </c>
      <c r="K58" s="8" t="s">
        <v>40</v>
      </c>
      <c r="L58" s="8">
        <v>11</v>
      </c>
      <c r="M58" s="8">
        <v>17</v>
      </c>
      <c r="N58" s="8">
        <v>2001</v>
      </c>
      <c r="O58" s="8">
        <v>2018</v>
      </c>
      <c r="P58" s="8" t="s">
        <v>331</v>
      </c>
      <c r="Q58" s="8" t="s">
        <v>448</v>
      </c>
      <c r="R58" s="8" t="s">
        <v>449</v>
      </c>
      <c r="S58" s="41" t="s">
        <v>450</v>
      </c>
      <c r="T58" s="8" t="s">
        <v>451</v>
      </c>
      <c r="U58" s="29" t="s">
        <v>452</v>
      </c>
    </row>
    <row r="59" spans="1:24" ht="15.6" customHeight="1">
      <c r="A59" s="77">
        <v>1.9E-2</v>
      </c>
      <c r="B59" s="8" t="s">
        <v>388</v>
      </c>
      <c r="C59" s="8">
        <v>27</v>
      </c>
      <c r="D59" s="8">
        <v>105</v>
      </c>
      <c r="E59" s="8" t="s">
        <v>37</v>
      </c>
      <c r="F59" s="8" t="s">
        <v>445</v>
      </c>
      <c r="G59" t="s">
        <v>62</v>
      </c>
      <c r="H59" s="8" t="s">
        <v>446</v>
      </c>
      <c r="I59" s="8" t="s">
        <v>30</v>
      </c>
      <c r="J59" s="8" t="s">
        <v>155</v>
      </c>
      <c r="K59" s="8" t="s">
        <v>155</v>
      </c>
      <c r="L59" s="8">
        <v>11</v>
      </c>
      <c r="M59" s="8">
        <v>17</v>
      </c>
      <c r="N59" s="8">
        <v>2001</v>
      </c>
      <c r="O59" s="8">
        <v>2018</v>
      </c>
      <c r="P59" s="8" t="s">
        <v>331</v>
      </c>
      <c r="Q59" s="8" t="s">
        <v>448</v>
      </c>
      <c r="R59" s="8" t="s">
        <v>449</v>
      </c>
      <c r="S59" s="41" t="s">
        <v>450</v>
      </c>
      <c r="T59" s="8" t="s">
        <v>451</v>
      </c>
      <c r="U59" s="29" t="s">
        <v>452</v>
      </c>
    </row>
    <row r="60" spans="1:24" ht="14.4">
      <c r="A60" s="8">
        <v>3.6999999999999998E-2</v>
      </c>
      <c r="B60" s="8" t="s">
        <v>70</v>
      </c>
      <c r="C60">
        <v>31.675255626368699</v>
      </c>
      <c r="D60" s="9">
        <v>87.801174559325503</v>
      </c>
      <c r="E60" s="8" t="s">
        <v>37</v>
      </c>
      <c r="F60" s="8" t="s">
        <v>185</v>
      </c>
      <c r="G60" t="s">
        <v>62</v>
      </c>
      <c r="H60" s="8" t="s">
        <v>330</v>
      </c>
      <c r="I60" s="8" t="s">
        <v>30</v>
      </c>
      <c r="J60" s="8" t="s">
        <v>148</v>
      </c>
      <c r="K60" s="8" t="s">
        <v>40</v>
      </c>
      <c r="L60" s="8">
        <v>374</v>
      </c>
      <c r="M60" s="8">
        <v>14</v>
      </c>
      <c r="N60" s="8">
        <v>2001</v>
      </c>
      <c r="O60" s="8">
        <v>2015</v>
      </c>
      <c r="P60" s="8" t="s">
        <v>331</v>
      </c>
      <c r="Q60" s="8" t="s">
        <v>74</v>
      </c>
      <c r="R60" s="8" t="s">
        <v>332</v>
      </c>
      <c r="S60" s="41" t="s">
        <v>76</v>
      </c>
      <c r="T60" s="8" t="s">
        <v>333</v>
      </c>
      <c r="U60" s="29" t="s">
        <v>334</v>
      </c>
    </row>
    <row r="61" spans="1:24" ht="14.4">
      <c r="A61" s="8">
        <v>3.1E-2</v>
      </c>
      <c r="B61" s="8" t="s">
        <v>166</v>
      </c>
      <c r="C61" s="8">
        <v>42.66778</v>
      </c>
      <c r="D61" s="8">
        <v>-87.068600000000004</v>
      </c>
      <c r="E61" s="8" t="s">
        <v>47</v>
      </c>
      <c r="F61" s="8" t="s">
        <v>336</v>
      </c>
      <c r="G61" t="s">
        <v>62</v>
      </c>
      <c r="H61" s="8" t="s">
        <v>29</v>
      </c>
      <c r="I61" s="8" t="s">
        <v>40</v>
      </c>
      <c r="J61" s="8" t="s">
        <v>40</v>
      </c>
      <c r="K61" s="8" t="s">
        <v>40</v>
      </c>
      <c r="L61" s="8">
        <v>1</v>
      </c>
      <c r="M61" s="8">
        <v>23</v>
      </c>
      <c r="N61" s="8">
        <v>1995</v>
      </c>
      <c r="O61" s="8">
        <v>2018</v>
      </c>
      <c r="P61" s="8" t="s">
        <v>226</v>
      </c>
      <c r="Q61" s="8" t="s">
        <v>337</v>
      </c>
      <c r="R61" s="8" t="s">
        <v>338</v>
      </c>
      <c r="S61" s="41" t="s">
        <v>339</v>
      </c>
      <c r="T61" s="8" t="s">
        <v>340</v>
      </c>
      <c r="U61" s="29" t="s">
        <v>341</v>
      </c>
    </row>
    <row r="62" spans="1:24" ht="14.4">
      <c r="A62" s="8">
        <v>0.04</v>
      </c>
      <c r="B62" s="8" t="s">
        <v>82</v>
      </c>
      <c r="C62">
        <v>34.3411033236398</v>
      </c>
      <c r="D62" s="9">
        <v>103.52721500615201</v>
      </c>
      <c r="E62" s="8" t="s">
        <v>37</v>
      </c>
      <c r="F62" s="8" t="s">
        <v>342</v>
      </c>
      <c r="G62" s="8" t="s">
        <v>49</v>
      </c>
      <c r="H62" s="8" t="s">
        <v>343</v>
      </c>
      <c r="I62" s="8" t="s">
        <v>30</v>
      </c>
      <c r="J62" s="8" t="s">
        <v>40</v>
      </c>
      <c r="K62" s="8" t="s">
        <v>40</v>
      </c>
      <c r="L62" s="8">
        <v>91</v>
      </c>
      <c r="M62" s="8">
        <v>39</v>
      </c>
      <c r="N62" s="8">
        <v>1979</v>
      </c>
      <c r="O62" s="8">
        <v>2018</v>
      </c>
      <c r="P62" s="8" t="s">
        <v>344</v>
      </c>
      <c r="Q62" s="14" t="s">
        <v>214</v>
      </c>
      <c r="R62" s="8" t="s">
        <v>215</v>
      </c>
      <c r="S62" s="41" t="s">
        <v>345</v>
      </c>
      <c r="T62" s="87"/>
      <c r="U62" s="29" t="s">
        <v>217</v>
      </c>
    </row>
    <row r="63" spans="1:24" ht="14.4">
      <c r="A63" s="8">
        <v>0.05</v>
      </c>
      <c r="B63" s="8" t="s">
        <v>82</v>
      </c>
      <c r="C63">
        <v>34.3411033236398</v>
      </c>
      <c r="D63" s="9">
        <v>103.52721500615201</v>
      </c>
      <c r="E63" s="8" t="s">
        <v>37</v>
      </c>
      <c r="F63" s="8" t="s">
        <v>342</v>
      </c>
      <c r="G63" s="8" t="s">
        <v>49</v>
      </c>
      <c r="H63" s="8" t="s">
        <v>343</v>
      </c>
      <c r="I63" s="8" t="s">
        <v>30</v>
      </c>
      <c r="J63" s="8" t="s">
        <v>129</v>
      </c>
      <c r="K63" s="8" t="s">
        <v>73</v>
      </c>
      <c r="L63" s="8">
        <v>91</v>
      </c>
      <c r="M63" s="8">
        <v>39</v>
      </c>
      <c r="N63" s="8">
        <v>1979</v>
      </c>
      <c r="O63" s="8">
        <v>2018</v>
      </c>
      <c r="P63" s="8" t="s">
        <v>344</v>
      </c>
      <c r="Q63" s="14" t="s">
        <v>214</v>
      </c>
      <c r="R63" s="8" t="s">
        <v>215</v>
      </c>
      <c r="S63" s="41" t="s">
        <v>345</v>
      </c>
      <c r="T63" s="87"/>
      <c r="U63" s="29" t="s">
        <v>217</v>
      </c>
    </row>
    <row r="64" spans="1:24" ht="14.4">
      <c r="A64" s="8">
        <v>4.1000000000000002E-2</v>
      </c>
      <c r="B64" s="8" t="s">
        <v>82</v>
      </c>
      <c r="C64">
        <v>34.3411033236398</v>
      </c>
      <c r="D64" s="9">
        <v>103.52721500615201</v>
      </c>
      <c r="E64" s="8" t="s">
        <v>37</v>
      </c>
      <c r="F64" s="8" t="s">
        <v>342</v>
      </c>
      <c r="G64" s="8" t="s">
        <v>49</v>
      </c>
      <c r="H64" s="8" t="s">
        <v>343</v>
      </c>
      <c r="I64" s="8" t="s">
        <v>30</v>
      </c>
      <c r="J64" s="8" t="s">
        <v>129</v>
      </c>
      <c r="K64" s="8" t="s">
        <v>81</v>
      </c>
      <c r="L64" s="8">
        <v>91</v>
      </c>
      <c r="M64" s="8">
        <v>39</v>
      </c>
      <c r="N64" s="8">
        <v>1979</v>
      </c>
      <c r="O64" s="8">
        <v>2018</v>
      </c>
      <c r="P64" s="8" t="s">
        <v>344</v>
      </c>
      <c r="Q64" s="14" t="s">
        <v>214</v>
      </c>
      <c r="R64" s="8" t="s">
        <v>215</v>
      </c>
      <c r="S64" s="41" t="s">
        <v>345</v>
      </c>
      <c r="T64" s="87"/>
      <c r="U64" s="29" t="s">
        <v>217</v>
      </c>
    </row>
    <row r="65" spans="1:31" ht="14.4">
      <c r="A65" s="8">
        <v>3.7999999999999999E-2</v>
      </c>
      <c r="B65" s="8" t="s">
        <v>82</v>
      </c>
      <c r="C65">
        <v>34.3411033236398</v>
      </c>
      <c r="D65" s="9">
        <v>103.52721500615201</v>
      </c>
      <c r="E65" s="8" t="s">
        <v>37</v>
      </c>
      <c r="F65" s="8" t="s">
        <v>342</v>
      </c>
      <c r="G65" s="8" t="s">
        <v>49</v>
      </c>
      <c r="H65" s="8" t="s">
        <v>343</v>
      </c>
      <c r="I65" s="8" t="s">
        <v>30</v>
      </c>
      <c r="J65" s="8" t="s">
        <v>129</v>
      </c>
      <c r="K65" s="8" t="s">
        <v>80</v>
      </c>
      <c r="L65" s="8">
        <v>91</v>
      </c>
      <c r="M65" s="8">
        <v>39</v>
      </c>
      <c r="N65" s="8">
        <v>1979</v>
      </c>
      <c r="O65" s="8">
        <v>2018</v>
      </c>
      <c r="P65" s="8" t="s">
        <v>344</v>
      </c>
      <c r="Q65" s="152" t="s">
        <v>346</v>
      </c>
      <c r="R65" s="8" t="s">
        <v>215</v>
      </c>
      <c r="S65" s="41" t="s">
        <v>345</v>
      </c>
      <c r="T65" s="87"/>
      <c r="U65" s="29" t="s">
        <v>217</v>
      </c>
    </row>
    <row r="66" spans="1:31" ht="14.4">
      <c r="A66" s="5">
        <v>2.9000000000000001E-2</v>
      </c>
      <c r="B66" s="8" t="s">
        <v>82</v>
      </c>
      <c r="C66">
        <v>34.3411033236398</v>
      </c>
      <c r="D66" s="9">
        <v>103.52721500615201</v>
      </c>
      <c r="E66" s="8" t="s">
        <v>37</v>
      </c>
      <c r="F66" s="8" t="s">
        <v>342</v>
      </c>
      <c r="G66" s="8" t="s">
        <v>49</v>
      </c>
      <c r="H66" s="8" t="s">
        <v>343</v>
      </c>
      <c r="I66" s="8" t="s">
        <v>30</v>
      </c>
      <c r="J66" s="8" t="s">
        <v>129</v>
      </c>
      <c r="K66" s="8" t="s">
        <v>31</v>
      </c>
      <c r="L66" s="8">
        <v>91</v>
      </c>
      <c r="M66" s="8">
        <v>39</v>
      </c>
      <c r="N66" s="8">
        <v>1979</v>
      </c>
      <c r="O66" s="8">
        <v>2018</v>
      </c>
      <c r="P66" s="8" t="s">
        <v>344</v>
      </c>
      <c r="Q66" s="14" t="s">
        <v>214</v>
      </c>
      <c r="R66" s="8" t="s">
        <v>215</v>
      </c>
      <c r="S66" s="41" t="s">
        <v>345</v>
      </c>
      <c r="T66" s="88"/>
      <c r="U66" s="29" t="s">
        <v>217</v>
      </c>
    </row>
    <row r="67" spans="1:31" s="19" customFormat="1" ht="14.4">
      <c r="A67" s="8">
        <v>0.05</v>
      </c>
      <c r="B67" s="8" t="s">
        <v>347</v>
      </c>
      <c r="C67">
        <v>32.833333000000003</v>
      </c>
      <c r="D67">
        <v>35.583333000000003</v>
      </c>
      <c r="E67" s="8" t="s">
        <v>47</v>
      </c>
      <c r="F67" s="8" t="s">
        <v>830</v>
      </c>
      <c r="G67" t="s">
        <v>62</v>
      </c>
      <c r="H67" s="8" t="s">
        <v>355</v>
      </c>
      <c r="I67" s="8" t="s">
        <v>30</v>
      </c>
      <c r="J67" s="8" t="s">
        <v>148</v>
      </c>
      <c r="K67" s="8" t="s">
        <v>40</v>
      </c>
      <c r="L67" s="8">
        <v>1</v>
      </c>
      <c r="M67" s="8">
        <v>16</v>
      </c>
      <c r="N67" s="8">
        <v>2003</v>
      </c>
      <c r="O67" s="8">
        <v>2019</v>
      </c>
      <c r="P67" s="8" t="s">
        <v>226</v>
      </c>
      <c r="Q67" s="8" t="s">
        <v>350</v>
      </c>
      <c r="R67" s="8" t="s">
        <v>351</v>
      </c>
      <c r="S67" s="41" t="s">
        <v>172</v>
      </c>
      <c r="T67" s="8"/>
      <c r="U67" s="78" t="s">
        <v>352</v>
      </c>
      <c r="V67" s="5"/>
      <c r="W67" s="5"/>
      <c r="X67" s="5"/>
      <c r="Y67" s="5"/>
      <c r="Z67" s="5"/>
      <c r="AA67" s="5"/>
      <c r="AB67" s="5"/>
      <c r="AC67" s="5"/>
      <c r="AD67" s="5"/>
      <c r="AE67" s="5"/>
    </row>
    <row r="68" spans="1:31" s="19" customFormat="1" ht="14.4">
      <c r="A68" s="8">
        <v>0</v>
      </c>
      <c r="B68" s="8" t="s">
        <v>360</v>
      </c>
      <c r="C68">
        <v>31.5</v>
      </c>
      <c r="D68">
        <v>35.5</v>
      </c>
      <c r="E68" s="8" t="s">
        <v>47</v>
      </c>
      <c r="F68" s="8" t="s">
        <v>830</v>
      </c>
      <c r="G68" t="s">
        <v>62</v>
      </c>
      <c r="H68" s="8" t="s">
        <v>355</v>
      </c>
      <c r="I68" s="8" t="s">
        <v>30</v>
      </c>
      <c r="J68" s="8" t="s">
        <v>148</v>
      </c>
      <c r="K68" s="8" t="s">
        <v>40</v>
      </c>
      <c r="L68" s="8">
        <v>1</v>
      </c>
      <c r="M68" s="8">
        <v>16</v>
      </c>
      <c r="N68" s="8">
        <v>2003</v>
      </c>
      <c r="O68" s="8">
        <v>2019</v>
      </c>
      <c r="P68" s="8" t="s">
        <v>226</v>
      </c>
      <c r="Q68" s="8" t="s">
        <v>350</v>
      </c>
      <c r="R68" s="8" t="s">
        <v>351</v>
      </c>
      <c r="S68" s="41" t="s">
        <v>172</v>
      </c>
      <c r="T68" s="8"/>
      <c r="U68" s="78" t="s">
        <v>352</v>
      </c>
      <c r="V68" s="5"/>
      <c r="W68" s="5"/>
      <c r="X68" s="5"/>
      <c r="Y68" s="5"/>
      <c r="Z68" s="5"/>
      <c r="AA68" s="5"/>
      <c r="AB68" s="5"/>
      <c r="AC68" s="5"/>
      <c r="AD68" s="5"/>
      <c r="AE68" s="5"/>
    </row>
    <row r="69" spans="1:31" s="72" customFormat="1" ht="14.4">
      <c r="A69" s="89">
        <v>0.04</v>
      </c>
      <c r="B69" s="89" t="s">
        <v>60</v>
      </c>
      <c r="C69" s="72">
        <v>55.689302269141699</v>
      </c>
      <c r="D69" s="82">
        <v>14.8641169214791</v>
      </c>
      <c r="E69" s="89" t="s">
        <v>37</v>
      </c>
      <c r="F69" s="89" t="s">
        <v>831</v>
      </c>
      <c r="G69" t="s">
        <v>62</v>
      </c>
      <c r="H69" s="89" t="s">
        <v>832</v>
      </c>
      <c r="I69" s="89" t="s">
        <v>30</v>
      </c>
      <c r="J69" s="90" t="s">
        <v>40</v>
      </c>
      <c r="K69" s="89" t="s">
        <v>40</v>
      </c>
      <c r="L69" s="89">
        <v>26</v>
      </c>
      <c r="M69" s="89">
        <v>16</v>
      </c>
      <c r="N69" s="89">
        <v>1991</v>
      </c>
      <c r="O69" s="89">
        <v>2007</v>
      </c>
      <c r="P69" s="89" t="s">
        <v>331</v>
      </c>
      <c r="Q69" s="14" t="s">
        <v>64</v>
      </c>
      <c r="R69" s="89" t="s">
        <v>833</v>
      </c>
      <c r="S69" s="83" t="s">
        <v>834</v>
      </c>
      <c r="T69" s="90"/>
      <c r="U69" s="84" t="s">
        <v>835</v>
      </c>
      <c r="W69" s="72" t="s">
        <v>836</v>
      </c>
    </row>
    <row r="70" spans="1:31" ht="14.4">
      <c r="A70" s="8">
        <v>5.8999999999999997E-2</v>
      </c>
      <c r="B70" s="8" t="s">
        <v>184</v>
      </c>
      <c r="C70" s="8">
        <v>31.23</v>
      </c>
      <c r="D70" s="8">
        <v>120.13</v>
      </c>
      <c r="E70" s="8" t="s">
        <v>47</v>
      </c>
      <c r="F70" s="8" t="s">
        <v>185</v>
      </c>
      <c r="G70" t="s">
        <v>62</v>
      </c>
      <c r="H70" s="91" t="s">
        <v>84</v>
      </c>
      <c r="I70" s="8" t="s">
        <v>30</v>
      </c>
      <c r="J70" s="8" t="s">
        <v>155</v>
      </c>
      <c r="K70" s="8" t="s">
        <v>155</v>
      </c>
      <c r="L70" s="8">
        <v>1</v>
      </c>
      <c r="M70" s="8">
        <v>11</v>
      </c>
      <c r="N70" s="8">
        <v>2002</v>
      </c>
      <c r="O70" s="8">
        <v>2013</v>
      </c>
      <c r="P70" s="8" t="s">
        <v>331</v>
      </c>
      <c r="Q70" s="4" t="s">
        <v>188</v>
      </c>
      <c r="R70" s="8" t="s">
        <v>361</v>
      </c>
      <c r="S70" s="41" t="s">
        <v>362</v>
      </c>
      <c r="T70" s="8" t="s">
        <v>363</v>
      </c>
      <c r="U70" s="29" t="s">
        <v>192</v>
      </c>
    </row>
    <row r="71" spans="1:31" ht="14.4">
      <c r="A71" s="8">
        <v>-0.05</v>
      </c>
      <c r="B71" s="8" t="s">
        <v>837</v>
      </c>
      <c r="C71" s="8">
        <v>34.369999999999997</v>
      </c>
      <c r="D71" s="8">
        <v>74.56</v>
      </c>
      <c r="E71" s="8" t="s">
        <v>47</v>
      </c>
      <c r="F71" s="8" t="s">
        <v>185</v>
      </c>
      <c r="G71" t="s">
        <v>62</v>
      </c>
      <c r="H71" s="8" t="s">
        <v>365</v>
      </c>
      <c r="I71" s="8" t="s">
        <v>30</v>
      </c>
      <c r="J71" s="8" t="s">
        <v>148</v>
      </c>
      <c r="K71" s="8" t="s">
        <v>40</v>
      </c>
      <c r="L71" s="8">
        <v>1</v>
      </c>
      <c r="M71" s="8">
        <v>16</v>
      </c>
      <c r="N71" s="8">
        <v>2001</v>
      </c>
      <c r="O71" s="8">
        <v>2017</v>
      </c>
      <c r="P71" s="8" t="s">
        <v>226</v>
      </c>
      <c r="Q71" s="8" t="s">
        <v>366</v>
      </c>
      <c r="R71" s="8" t="s">
        <v>367</v>
      </c>
      <c r="S71" s="41" t="s">
        <v>368</v>
      </c>
      <c r="T71" s="8" t="s">
        <v>369</v>
      </c>
      <c r="U71" s="29" t="s">
        <v>370</v>
      </c>
    </row>
    <row r="72" spans="1:31" ht="14.4">
      <c r="A72" s="8">
        <v>0.01</v>
      </c>
      <c r="B72" s="8" t="s">
        <v>837</v>
      </c>
      <c r="C72" s="8">
        <v>34.369999999999997</v>
      </c>
      <c r="D72" s="8">
        <v>74.56</v>
      </c>
      <c r="E72" s="8" t="s">
        <v>47</v>
      </c>
      <c r="F72" s="8" t="s">
        <v>185</v>
      </c>
      <c r="G72" t="s">
        <v>62</v>
      </c>
      <c r="H72" s="8" t="s">
        <v>365</v>
      </c>
      <c r="I72" s="8" t="s">
        <v>30</v>
      </c>
      <c r="J72" s="8" t="s">
        <v>155</v>
      </c>
      <c r="K72" s="8" t="s">
        <v>155</v>
      </c>
      <c r="L72" s="8">
        <v>1</v>
      </c>
      <c r="M72" s="8">
        <v>16</v>
      </c>
      <c r="N72" s="8">
        <v>2001</v>
      </c>
      <c r="O72" s="8">
        <v>2017</v>
      </c>
      <c r="P72" s="8" t="s">
        <v>226</v>
      </c>
      <c r="Q72" s="8" t="s">
        <v>366</v>
      </c>
      <c r="R72" s="8" t="s">
        <v>367</v>
      </c>
      <c r="S72" s="41" t="s">
        <v>368</v>
      </c>
      <c r="T72" s="8" t="s">
        <v>369</v>
      </c>
      <c r="U72" s="29" t="s">
        <v>370</v>
      </c>
    </row>
    <row r="73" spans="1:31" ht="14.4">
      <c r="A73" s="8">
        <v>3.2000000000000001E-2</v>
      </c>
      <c r="B73" s="8" t="s">
        <v>70</v>
      </c>
      <c r="C73">
        <v>31.675255626368699</v>
      </c>
      <c r="D73" s="9">
        <v>87.801174559325503</v>
      </c>
      <c r="E73" s="8" t="s">
        <v>37</v>
      </c>
      <c r="F73" s="8" t="s">
        <v>838</v>
      </c>
      <c r="G73" t="s">
        <v>62</v>
      </c>
      <c r="H73" s="91" t="s">
        <v>84</v>
      </c>
      <c r="I73" s="8" t="s">
        <v>30</v>
      </c>
      <c r="J73" s="8" t="s">
        <v>40</v>
      </c>
      <c r="K73" s="8" t="s">
        <v>40</v>
      </c>
      <c r="L73" s="8">
        <v>81</v>
      </c>
      <c r="M73" s="8">
        <v>38</v>
      </c>
      <c r="N73" s="8">
        <v>1980</v>
      </c>
      <c r="O73" s="8">
        <v>2018</v>
      </c>
      <c r="P73" s="8" t="s">
        <v>331</v>
      </c>
      <c r="Q73" s="8" t="s">
        <v>206</v>
      </c>
      <c r="R73" s="8" t="s">
        <v>207</v>
      </c>
      <c r="S73" s="41" t="s">
        <v>208</v>
      </c>
      <c r="T73" s="8" t="s">
        <v>333</v>
      </c>
      <c r="U73" s="2" t="s">
        <v>210</v>
      </c>
      <c r="V73" t="s">
        <v>463</v>
      </c>
    </row>
    <row r="74" spans="1:31" ht="14.4">
      <c r="A74" s="8">
        <v>2.4E-2</v>
      </c>
      <c r="B74" s="8" t="s">
        <v>82</v>
      </c>
      <c r="C74">
        <v>34.3411033236398</v>
      </c>
      <c r="D74" s="9">
        <v>103.52721500615201</v>
      </c>
      <c r="E74" s="8" t="s">
        <v>37</v>
      </c>
      <c r="F74" s="8" t="s">
        <v>372</v>
      </c>
      <c r="G74" t="s">
        <v>62</v>
      </c>
      <c r="H74" s="8" t="s">
        <v>373</v>
      </c>
      <c r="I74" s="8" t="s">
        <v>30</v>
      </c>
      <c r="J74" s="8" t="s">
        <v>40</v>
      </c>
      <c r="K74" s="8" t="s">
        <v>40</v>
      </c>
      <c r="L74" s="8">
        <v>6</v>
      </c>
      <c r="M74" s="8">
        <v>17</v>
      </c>
      <c r="N74" s="8">
        <v>2001</v>
      </c>
      <c r="O74" s="8">
        <v>2018</v>
      </c>
      <c r="P74" s="8" t="s">
        <v>226</v>
      </c>
      <c r="Q74" s="8" t="s">
        <v>839</v>
      </c>
      <c r="R74" s="8" t="s">
        <v>375</v>
      </c>
      <c r="S74" s="41" t="s">
        <v>376</v>
      </c>
      <c r="T74" s="87"/>
      <c r="U74" s="8" t="s">
        <v>377</v>
      </c>
    </row>
    <row r="75" spans="1:31" ht="14.4">
      <c r="A75" s="8">
        <v>0.01</v>
      </c>
      <c r="B75" s="8" t="s">
        <v>378</v>
      </c>
      <c r="C75" s="8">
        <v>40.04</v>
      </c>
      <c r="D75" s="8">
        <v>9</v>
      </c>
      <c r="E75" s="8" t="s">
        <v>37</v>
      </c>
      <c r="F75" s="8" t="s">
        <v>379</v>
      </c>
      <c r="G75" t="s">
        <v>62</v>
      </c>
      <c r="H75" s="8" t="s">
        <v>380</v>
      </c>
      <c r="I75" s="8" t="s">
        <v>30</v>
      </c>
      <c r="J75" s="8" t="s">
        <v>40</v>
      </c>
      <c r="K75" s="8" t="s">
        <v>40</v>
      </c>
      <c r="L75" s="8">
        <v>24</v>
      </c>
      <c r="M75" s="8">
        <v>18</v>
      </c>
      <c r="N75" s="8">
        <v>2000</v>
      </c>
      <c r="O75" s="8">
        <v>2018</v>
      </c>
      <c r="P75" s="8" t="s">
        <v>226</v>
      </c>
      <c r="Q75" s="8" t="s">
        <v>381</v>
      </c>
      <c r="R75" s="8" t="s">
        <v>382</v>
      </c>
      <c r="S75" s="41" t="s">
        <v>322</v>
      </c>
      <c r="T75" s="8" t="s">
        <v>383</v>
      </c>
      <c r="U75" s="8" t="s">
        <v>384</v>
      </c>
    </row>
    <row r="76" spans="1:31" ht="14.4">
      <c r="A76" s="8">
        <v>2.5999999999999999E-2</v>
      </c>
      <c r="B76" s="8" t="s">
        <v>82</v>
      </c>
      <c r="C76">
        <v>34.3411033236398</v>
      </c>
      <c r="D76" s="9">
        <v>103.52721500615201</v>
      </c>
      <c r="E76" s="8" t="s">
        <v>37</v>
      </c>
      <c r="F76" s="8" t="s">
        <v>185</v>
      </c>
      <c r="G76" t="s">
        <v>62</v>
      </c>
      <c r="H76" s="8" t="s">
        <v>84</v>
      </c>
      <c r="I76" s="8" t="s">
        <v>30</v>
      </c>
      <c r="J76" s="8" t="s">
        <v>40</v>
      </c>
      <c r="K76" s="8" t="s">
        <v>40</v>
      </c>
      <c r="L76" s="8">
        <v>169</v>
      </c>
      <c r="M76" s="8">
        <v>15</v>
      </c>
      <c r="N76" s="8">
        <v>2001</v>
      </c>
      <c r="O76" s="8">
        <v>2016</v>
      </c>
      <c r="P76" s="8" t="s">
        <v>331</v>
      </c>
      <c r="Q76" s="4" t="s">
        <v>149</v>
      </c>
      <c r="R76" s="8" t="s">
        <v>840</v>
      </c>
      <c r="S76" s="41" t="s">
        <v>151</v>
      </c>
      <c r="T76" s="8" t="s">
        <v>841</v>
      </c>
      <c r="U76" s="8" t="s">
        <v>153</v>
      </c>
    </row>
    <row r="77" spans="1:31" ht="14.4">
      <c r="A77" s="8">
        <v>0.28999999999999998</v>
      </c>
      <c r="B77" s="8" t="s">
        <v>388</v>
      </c>
      <c r="C77" s="8">
        <v>26</v>
      </c>
      <c r="D77" s="8">
        <v>105</v>
      </c>
      <c r="E77" s="8" t="s">
        <v>37</v>
      </c>
      <c r="F77" s="8" t="s">
        <v>389</v>
      </c>
      <c r="G77" t="s">
        <v>62</v>
      </c>
      <c r="H77" s="8" t="s">
        <v>390</v>
      </c>
      <c r="I77" s="8" t="s">
        <v>30</v>
      </c>
      <c r="J77" s="8" t="s">
        <v>40</v>
      </c>
      <c r="K77" s="8" t="s">
        <v>40</v>
      </c>
      <c r="L77" s="8">
        <v>11</v>
      </c>
      <c r="M77" s="8">
        <v>18</v>
      </c>
      <c r="N77" s="8">
        <v>2001</v>
      </c>
      <c r="O77" s="8">
        <v>2019</v>
      </c>
      <c r="P77" s="8" t="s">
        <v>331</v>
      </c>
      <c r="Q77" s="8" t="s">
        <v>391</v>
      </c>
      <c r="R77" s="8" t="s">
        <v>392</v>
      </c>
      <c r="S77" s="41" t="s">
        <v>393</v>
      </c>
      <c r="T77" s="87"/>
      <c r="U77" s="8" t="s">
        <v>394</v>
      </c>
    </row>
    <row r="78" spans="1:31" ht="14.4">
      <c r="A78" s="8">
        <v>5.0000000000000001E-3</v>
      </c>
      <c r="B78" s="8" t="s">
        <v>158</v>
      </c>
      <c r="C78" s="8">
        <v>31.53</v>
      </c>
      <c r="D78" s="8">
        <v>117.52</v>
      </c>
      <c r="E78" s="8" t="s">
        <v>47</v>
      </c>
      <c r="F78" s="8" t="s">
        <v>475</v>
      </c>
      <c r="G78" t="s">
        <v>62</v>
      </c>
      <c r="H78" s="8" t="s">
        <v>84</v>
      </c>
      <c r="I78" s="8" t="s">
        <v>30</v>
      </c>
      <c r="J78" s="8" t="s">
        <v>40</v>
      </c>
      <c r="K78" s="8" t="s">
        <v>40</v>
      </c>
      <c r="L78" s="8">
        <v>1</v>
      </c>
      <c r="M78" s="8">
        <v>56</v>
      </c>
      <c r="N78" s="8">
        <v>1960</v>
      </c>
      <c r="O78" s="8">
        <v>2016</v>
      </c>
      <c r="P78" s="8" t="s">
        <v>344</v>
      </c>
      <c r="Q78" s="8" t="s">
        <v>160</v>
      </c>
      <c r="R78" s="8" t="s">
        <v>396</v>
      </c>
      <c r="S78" s="41" t="s">
        <v>397</v>
      </c>
      <c r="T78" s="87"/>
      <c r="U78" s="8" t="s">
        <v>164</v>
      </c>
    </row>
    <row r="79" spans="1:31" ht="14.4">
      <c r="A79" s="8">
        <f>(0.38+0.42+0.34)/3/10</f>
        <v>3.8000000000000006E-2</v>
      </c>
      <c r="B79" s="8" t="s">
        <v>398</v>
      </c>
      <c r="C79" s="8">
        <v>-52.776471600000001</v>
      </c>
      <c r="D79" s="8">
        <v>-72.631865919999996</v>
      </c>
      <c r="E79" s="8" t="s">
        <v>37</v>
      </c>
      <c r="F79" s="8" t="s">
        <v>399</v>
      </c>
      <c r="G79" t="s">
        <v>62</v>
      </c>
      <c r="H79" s="8" t="s">
        <v>84</v>
      </c>
      <c r="I79" s="8" t="s">
        <v>30</v>
      </c>
      <c r="J79" s="8" t="s">
        <v>40</v>
      </c>
      <c r="K79" s="8" t="s">
        <v>40</v>
      </c>
      <c r="L79" s="8">
        <v>3</v>
      </c>
      <c r="M79" s="8">
        <v>20</v>
      </c>
      <c r="N79" s="8">
        <v>2002</v>
      </c>
      <c r="O79" s="8">
        <v>2022</v>
      </c>
      <c r="P79" s="8" t="s">
        <v>226</v>
      </c>
      <c r="Q79" s="9" t="s">
        <v>401</v>
      </c>
      <c r="R79" s="8" t="s">
        <v>402</v>
      </c>
      <c r="S79" s="41" t="s">
        <v>397</v>
      </c>
      <c r="T79" s="87"/>
      <c r="U79" s="2" t="s">
        <v>403</v>
      </c>
    </row>
    <row r="80" spans="1:31" s="140" customFormat="1" ht="14.4">
      <c r="A80" s="137">
        <v>0.01</v>
      </c>
      <c r="B80" s="137" t="s">
        <v>257</v>
      </c>
      <c r="C80" s="137">
        <v>24.83</v>
      </c>
      <c r="D80" s="137">
        <v>102.69</v>
      </c>
      <c r="E80" s="137" t="s">
        <v>47</v>
      </c>
      <c r="F80" s="137" t="s">
        <v>405</v>
      </c>
      <c r="G80" s="137" t="s">
        <v>62</v>
      </c>
      <c r="H80" s="137" t="s">
        <v>390</v>
      </c>
      <c r="I80" s="137" t="s">
        <v>30</v>
      </c>
      <c r="J80" s="137" t="s">
        <v>148</v>
      </c>
      <c r="K80" s="137" t="s">
        <v>40</v>
      </c>
      <c r="L80" s="137">
        <v>1</v>
      </c>
      <c r="M80" s="137">
        <v>17</v>
      </c>
      <c r="N80" s="137">
        <v>2001</v>
      </c>
      <c r="O80" s="137">
        <v>2018</v>
      </c>
      <c r="P80" s="137" t="s">
        <v>226</v>
      </c>
      <c r="Q80" s="137" t="s">
        <v>406</v>
      </c>
      <c r="R80" s="137" t="s">
        <v>407</v>
      </c>
      <c r="S80" s="138" t="s">
        <v>408</v>
      </c>
      <c r="T80" s="137"/>
      <c r="U80" s="139" t="s">
        <v>409</v>
      </c>
    </row>
    <row r="81" spans="1:24" s="140" customFormat="1" ht="14.4">
      <c r="A81" s="137">
        <v>0.02</v>
      </c>
      <c r="B81" s="137" t="s">
        <v>257</v>
      </c>
      <c r="C81" s="137">
        <v>24.83</v>
      </c>
      <c r="D81" s="137">
        <v>102.69</v>
      </c>
      <c r="E81" s="137" t="s">
        <v>47</v>
      </c>
      <c r="F81" s="137" t="s">
        <v>405</v>
      </c>
      <c r="G81" s="137" t="s">
        <v>62</v>
      </c>
      <c r="H81" s="137" t="s">
        <v>390</v>
      </c>
      <c r="I81" s="137" t="s">
        <v>30</v>
      </c>
      <c r="J81" s="137" t="s">
        <v>155</v>
      </c>
      <c r="K81" s="137" t="s">
        <v>155</v>
      </c>
      <c r="L81" s="137">
        <v>1</v>
      </c>
      <c r="M81" s="137">
        <v>17</v>
      </c>
      <c r="N81" s="137">
        <v>2001</v>
      </c>
      <c r="O81" s="137">
        <v>2018</v>
      </c>
      <c r="P81" s="137" t="s">
        <v>226</v>
      </c>
      <c r="Q81" s="137" t="s">
        <v>406</v>
      </c>
      <c r="R81" s="137" t="s">
        <v>407</v>
      </c>
      <c r="S81" s="138" t="s">
        <v>408</v>
      </c>
      <c r="T81" s="137"/>
      <c r="U81" s="139" t="s">
        <v>409</v>
      </c>
    </row>
    <row r="82" spans="1:24" ht="14.4">
      <c r="A82" s="72">
        <v>3.5000000000000003E-2</v>
      </c>
      <c r="B82" t="s">
        <v>36</v>
      </c>
      <c r="C82">
        <v>53.700410966266702</v>
      </c>
      <c r="D82" s="9">
        <v>18.467048700489102</v>
      </c>
      <c r="E82" t="s">
        <v>804</v>
      </c>
      <c r="F82" t="s">
        <v>842</v>
      </c>
      <c r="G82" t="s">
        <v>39</v>
      </c>
      <c r="H82" t="s">
        <v>313</v>
      </c>
      <c r="I82" t="s">
        <v>30</v>
      </c>
      <c r="J82" t="s">
        <v>40</v>
      </c>
      <c r="K82" t="s">
        <v>40</v>
      </c>
      <c r="L82">
        <v>6</v>
      </c>
      <c r="M82">
        <f>(O82-N82)</f>
        <v>29</v>
      </c>
      <c r="N82">
        <v>1994</v>
      </c>
      <c r="O82">
        <v>2023</v>
      </c>
      <c r="P82" t="s">
        <v>140</v>
      </c>
      <c r="Q82" s="8" t="s">
        <v>412</v>
      </c>
      <c r="R82" t="s">
        <v>843</v>
      </c>
      <c r="S82" t="s">
        <v>844</v>
      </c>
      <c r="U82" s="2" t="s">
        <v>415</v>
      </c>
      <c r="V82" t="s">
        <v>845</v>
      </c>
      <c r="X82" t="s">
        <v>294</v>
      </c>
    </row>
    <row r="83" spans="1:24" ht="14.4">
      <c r="A83" s="72">
        <v>0.05</v>
      </c>
      <c r="B83" t="s">
        <v>36</v>
      </c>
      <c r="C83">
        <v>53.700410966266702</v>
      </c>
      <c r="D83" s="9">
        <v>18.467048700489102</v>
      </c>
      <c r="E83" t="s">
        <v>804</v>
      </c>
      <c r="F83" t="s">
        <v>842</v>
      </c>
      <c r="G83" t="s">
        <v>39</v>
      </c>
      <c r="H83" t="s">
        <v>313</v>
      </c>
      <c r="I83" t="s">
        <v>30</v>
      </c>
      <c r="J83" t="s">
        <v>31</v>
      </c>
      <c r="K83" t="s">
        <v>31</v>
      </c>
      <c r="L83">
        <v>6</v>
      </c>
      <c r="M83">
        <f>(O83-N83)</f>
        <v>29</v>
      </c>
      <c r="N83">
        <v>1994</v>
      </c>
      <c r="O83">
        <v>2023</v>
      </c>
      <c r="P83" t="s">
        <v>140</v>
      </c>
      <c r="Q83" s="8" t="s">
        <v>412</v>
      </c>
      <c r="R83" t="s">
        <v>843</v>
      </c>
      <c r="S83" t="s">
        <v>844</v>
      </c>
      <c r="U83" s="2" t="s">
        <v>415</v>
      </c>
      <c r="X83" t="s">
        <v>294</v>
      </c>
    </row>
    <row r="84" spans="1:24" ht="14.4">
      <c r="A84">
        <v>4.1000000000000002E-2</v>
      </c>
      <c r="B84" t="s">
        <v>416</v>
      </c>
      <c r="C84" s="5">
        <v>61.924100000000003</v>
      </c>
      <c r="D84" s="5">
        <v>25.748200000000001</v>
      </c>
      <c r="E84" t="s">
        <v>804</v>
      </c>
      <c r="F84" t="s">
        <v>846</v>
      </c>
      <c r="G84" t="s">
        <v>39</v>
      </c>
      <c r="H84" t="s">
        <v>313</v>
      </c>
      <c r="I84" t="s">
        <v>30</v>
      </c>
      <c r="J84" t="s">
        <v>31</v>
      </c>
      <c r="K84" t="s">
        <v>31</v>
      </c>
      <c r="L84">
        <v>1</v>
      </c>
      <c r="M84">
        <f>(O84-N84)</f>
        <v>37</v>
      </c>
      <c r="N84">
        <v>1984</v>
      </c>
      <c r="O84">
        <v>2021</v>
      </c>
      <c r="P84" t="s">
        <v>140</v>
      </c>
      <c r="Q84" s="14" t="s">
        <v>418</v>
      </c>
      <c r="R84" t="s">
        <v>419</v>
      </c>
      <c r="S84" t="s">
        <v>420</v>
      </c>
      <c r="T84" t="s">
        <v>421</v>
      </c>
      <c r="U84" s="2" t="s">
        <v>422</v>
      </c>
      <c r="X84" t="s">
        <v>294</v>
      </c>
    </row>
    <row r="85" spans="1:24" ht="14.4">
      <c r="A85">
        <v>0.06</v>
      </c>
      <c r="B85" t="s">
        <v>70</v>
      </c>
      <c r="C85">
        <v>31.675255626368699</v>
      </c>
      <c r="D85" s="9">
        <v>87.801174559325503</v>
      </c>
      <c r="E85" t="s">
        <v>37</v>
      </c>
      <c r="F85" t="s">
        <v>425</v>
      </c>
      <c r="G85" t="s">
        <v>49</v>
      </c>
      <c r="H85" s="8" t="s">
        <v>84</v>
      </c>
      <c r="I85" t="s">
        <v>30</v>
      </c>
      <c r="J85" t="s">
        <v>40</v>
      </c>
      <c r="K85" t="s">
        <v>40</v>
      </c>
      <c r="L85">
        <v>2</v>
      </c>
      <c r="M85">
        <f>(O85-N85)</f>
        <v>39</v>
      </c>
      <c r="N85">
        <v>1979</v>
      </c>
      <c r="O85">
        <v>2018</v>
      </c>
      <c r="P85" t="s">
        <v>226</v>
      </c>
      <c r="Q85" s="4" t="s">
        <v>426</v>
      </c>
      <c r="R85" t="s">
        <v>847</v>
      </c>
      <c r="S85" t="s">
        <v>172</v>
      </c>
      <c r="T85" t="s">
        <v>249</v>
      </c>
      <c r="U85" s="2" t="s">
        <v>848</v>
      </c>
    </row>
    <row r="86" spans="1:24" s="23" customFormat="1" ht="14.4">
      <c r="A86" s="23">
        <v>4.4999999999999998E-2</v>
      </c>
      <c r="B86" t="s">
        <v>26</v>
      </c>
      <c r="C86" s="8">
        <v>0</v>
      </c>
      <c r="D86" s="8">
        <v>-131.19999999999999</v>
      </c>
      <c r="E86" t="s">
        <v>26</v>
      </c>
      <c r="F86" s="23" t="s">
        <v>431</v>
      </c>
      <c r="G86" t="s">
        <v>62</v>
      </c>
      <c r="H86" s="23" t="s">
        <v>432</v>
      </c>
      <c r="I86" s="23" t="s">
        <v>30</v>
      </c>
      <c r="J86" s="23" t="s">
        <v>40</v>
      </c>
      <c r="K86" s="23" t="s">
        <v>40</v>
      </c>
      <c r="L86" s="23">
        <v>113</v>
      </c>
      <c r="M86" s="23">
        <f t="shared" ref="M86:M101" si="3">O86-N86</f>
        <v>24</v>
      </c>
      <c r="N86" s="23">
        <v>1985</v>
      </c>
      <c r="O86" s="23">
        <v>2009</v>
      </c>
      <c r="Q86" s="23" t="s">
        <v>433</v>
      </c>
      <c r="R86" s="23" t="s">
        <v>434</v>
      </c>
      <c r="S86" s="23" t="s">
        <v>76</v>
      </c>
      <c r="U86" s="27" t="s">
        <v>435</v>
      </c>
      <c r="X86" s="23" t="s">
        <v>436</v>
      </c>
    </row>
    <row r="87" spans="1:24" s="23" customFormat="1" ht="14.4">
      <c r="A87" s="23">
        <v>0.11</v>
      </c>
      <c r="B87" s="23" t="s">
        <v>437</v>
      </c>
      <c r="C87" s="23">
        <v>38.117850674153601</v>
      </c>
      <c r="D87" s="23">
        <v>-118.75937390314</v>
      </c>
      <c r="E87" t="s">
        <v>37</v>
      </c>
      <c r="F87" s="23" t="s">
        <v>438</v>
      </c>
      <c r="G87" t="s">
        <v>62</v>
      </c>
      <c r="H87" s="23" t="s">
        <v>439</v>
      </c>
      <c r="I87" s="23" t="s">
        <v>30</v>
      </c>
      <c r="J87" s="8" t="s">
        <v>441</v>
      </c>
      <c r="K87" s="23" t="s">
        <v>187</v>
      </c>
      <c r="L87" s="23">
        <v>6</v>
      </c>
      <c r="M87" s="23">
        <f t="shared" si="3"/>
        <v>16</v>
      </c>
      <c r="N87" s="23">
        <v>1992</v>
      </c>
      <c r="O87" s="23">
        <v>2008</v>
      </c>
      <c r="Q87" s="23" t="s">
        <v>442</v>
      </c>
      <c r="R87" s="23" t="s">
        <v>443</v>
      </c>
      <c r="S87" s="23" t="s">
        <v>76</v>
      </c>
      <c r="U87" s="27" t="s">
        <v>444</v>
      </c>
      <c r="X87" s="23" t="s">
        <v>436</v>
      </c>
    </row>
    <row r="88" spans="1:24" s="23" customFormat="1" ht="14.4">
      <c r="A88" s="23">
        <v>3.1E-2</v>
      </c>
      <c r="B88" s="23" t="s">
        <v>388</v>
      </c>
      <c r="C88" s="23">
        <v>25.978851923713702</v>
      </c>
      <c r="D88" s="23">
        <v>104.87335312714499</v>
      </c>
      <c r="E88" t="s">
        <v>37</v>
      </c>
      <c r="F88" s="23" t="s">
        <v>372</v>
      </c>
      <c r="G88" t="s">
        <v>62</v>
      </c>
      <c r="H88" s="23" t="s">
        <v>446</v>
      </c>
      <c r="I88" s="23" t="s">
        <v>30</v>
      </c>
      <c r="J88" s="23" t="s">
        <v>148</v>
      </c>
      <c r="K88" s="23" t="s">
        <v>40</v>
      </c>
      <c r="L88" s="23">
        <v>11</v>
      </c>
      <c r="M88" s="23">
        <f t="shared" si="3"/>
        <v>17</v>
      </c>
      <c r="N88" s="23">
        <v>2001</v>
      </c>
      <c r="O88" s="23">
        <v>2018</v>
      </c>
      <c r="Q88" s="8" t="s">
        <v>448</v>
      </c>
      <c r="R88" s="23" t="s">
        <v>849</v>
      </c>
      <c r="U88" s="27"/>
      <c r="X88" s="23" t="s">
        <v>436</v>
      </c>
    </row>
    <row r="89" spans="1:24" s="23" customFormat="1" ht="14.4">
      <c r="A89" s="23">
        <v>1E-3</v>
      </c>
      <c r="B89" s="23" t="s">
        <v>388</v>
      </c>
      <c r="C89" s="23">
        <v>25.978851923713702</v>
      </c>
      <c r="D89" s="23">
        <v>104.87335312714499</v>
      </c>
      <c r="E89" t="s">
        <v>37</v>
      </c>
      <c r="F89" s="23" t="s">
        <v>372</v>
      </c>
      <c r="G89" t="s">
        <v>62</v>
      </c>
      <c r="H89" s="23" t="s">
        <v>446</v>
      </c>
      <c r="I89" s="23" t="s">
        <v>30</v>
      </c>
      <c r="J89" s="23" t="s">
        <v>155</v>
      </c>
      <c r="K89" s="23" t="s">
        <v>155</v>
      </c>
      <c r="L89" s="23">
        <v>11</v>
      </c>
      <c r="M89" s="23">
        <f t="shared" si="3"/>
        <v>17</v>
      </c>
      <c r="N89" s="23">
        <v>2001</v>
      </c>
      <c r="O89" s="23">
        <v>2018</v>
      </c>
      <c r="Q89" s="8" t="s">
        <v>448</v>
      </c>
      <c r="R89" s="23" t="s">
        <v>849</v>
      </c>
      <c r="U89" s="27"/>
      <c r="X89" s="23" t="s">
        <v>436</v>
      </c>
    </row>
    <row r="90" spans="1:24" s="23" customFormat="1" ht="14.4">
      <c r="A90" s="23">
        <v>4.0000000000000001E-3</v>
      </c>
      <c r="B90" s="23" t="s">
        <v>257</v>
      </c>
      <c r="C90" s="23">
        <v>24.8371023262591</v>
      </c>
      <c r="D90" s="23">
        <v>102.710885587985</v>
      </c>
      <c r="E90" t="s">
        <v>47</v>
      </c>
      <c r="F90" s="23" t="s">
        <v>372</v>
      </c>
      <c r="G90" t="s">
        <v>62</v>
      </c>
      <c r="H90" s="23" t="s">
        <v>455</v>
      </c>
      <c r="I90" s="23" t="s">
        <v>30</v>
      </c>
      <c r="J90" s="23" t="s">
        <v>148</v>
      </c>
      <c r="K90" s="23" t="s">
        <v>40</v>
      </c>
      <c r="L90" s="23">
        <v>1</v>
      </c>
      <c r="M90" s="23">
        <f t="shared" si="3"/>
        <v>17</v>
      </c>
      <c r="N90" s="23">
        <v>2001</v>
      </c>
      <c r="O90" s="23">
        <v>2018</v>
      </c>
      <c r="Q90" s="23" t="s">
        <v>456</v>
      </c>
      <c r="R90" s="23" t="s">
        <v>264</v>
      </c>
      <c r="T90" s="23" t="s">
        <v>457</v>
      </c>
      <c r="U90" s="27"/>
      <c r="X90" s="23" t="s">
        <v>436</v>
      </c>
    </row>
    <row r="91" spans="1:24" s="23" customFormat="1" ht="14.4">
      <c r="A91" s="23">
        <v>2.3400000000000001E-2</v>
      </c>
      <c r="B91" s="23" t="s">
        <v>257</v>
      </c>
      <c r="C91" s="23">
        <v>24.8371023262591</v>
      </c>
      <c r="D91" s="23">
        <v>102.710885587985</v>
      </c>
      <c r="E91" t="s">
        <v>47</v>
      </c>
      <c r="F91" s="23" t="s">
        <v>372</v>
      </c>
      <c r="G91" t="s">
        <v>62</v>
      </c>
      <c r="H91" s="23" t="s">
        <v>455</v>
      </c>
      <c r="I91" s="23" t="s">
        <v>30</v>
      </c>
      <c r="J91" s="23" t="s">
        <v>155</v>
      </c>
      <c r="K91" s="23" t="s">
        <v>155</v>
      </c>
      <c r="L91" s="23">
        <v>1</v>
      </c>
      <c r="M91" s="23">
        <f t="shared" si="3"/>
        <v>17</v>
      </c>
      <c r="N91" s="23">
        <v>2001</v>
      </c>
      <c r="O91" s="23">
        <v>2018</v>
      </c>
      <c r="Q91" s="23" t="s">
        <v>456</v>
      </c>
      <c r="R91" s="23" t="s">
        <v>264</v>
      </c>
      <c r="T91" s="23" t="s">
        <v>457</v>
      </c>
      <c r="U91" s="27"/>
      <c r="X91" s="23" t="s">
        <v>436</v>
      </c>
    </row>
    <row r="92" spans="1:24" s="23" customFormat="1" ht="14.4">
      <c r="A92" s="23">
        <v>3.1E-2</v>
      </c>
      <c r="B92" s="23" t="s">
        <v>82</v>
      </c>
      <c r="C92" s="23">
        <v>28.5556949485131</v>
      </c>
      <c r="D92" s="23">
        <v>113.17112363609699</v>
      </c>
      <c r="E92" t="s">
        <v>37</v>
      </c>
      <c r="F92" s="23" t="s">
        <v>372</v>
      </c>
      <c r="G92" t="s">
        <v>62</v>
      </c>
      <c r="H92" s="23" t="s">
        <v>458</v>
      </c>
      <c r="I92" s="23" t="s">
        <v>30</v>
      </c>
      <c r="J92" s="23" t="s">
        <v>40</v>
      </c>
      <c r="K92" s="23" t="s">
        <v>40</v>
      </c>
      <c r="L92" s="23">
        <v>6</v>
      </c>
      <c r="M92" s="23">
        <f t="shared" si="3"/>
        <v>17</v>
      </c>
      <c r="N92" s="23">
        <v>2001</v>
      </c>
      <c r="O92" s="23">
        <v>2018</v>
      </c>
      <c r="P92" s="23" t="s">
        <v>226</v>
      </c>
      <c r="Q92" s="23" t="s">
        <v>459</v>
      </c>
      <c r="R92" s="23" t="s">
        <v>460</v>
      </c>
      <c r="S92" s="23" t="s">
        <v>461</v>
      </c>
      <c r="U92" s="27"/>
      <c r="X92" s="23" t="s">
        <v>436</v>
      </c>
    </row>
    <row r="93" spans="1:24" s="23" customFormat="1" ht="14.4">
      <c r="A93" s="23">
        <v>3.6999999999999998E-2</v>
      </c>
      <c r="B93" s="23" t="s">
        <v>82</v>
      </c>
      <c r="C93" s="23">
        <v>28.5556949485131</v>
      </c>
      <c r="D93" s="23">
        <v>113.17112363609699</v>
      </c>
      <c r="E93" t="s">
        <v>37</v>
      </c>
      <c r="F93" s="23" t="s">
        <v>850</v>
      </c>
      <c r="G93" t="s">
        <v>62</v>
      </c>
      <c r="H93" s="23" t="s">
        <v>458</v>
      </c>
      <c r="I93" s="23" t="s">
        <v>30</v>
      </c>
      <c r="J93" s="23" t="s">
        <v>129</v>
      </c>
      <c r="K93" s="23" t="s">
        <v>81</v>
      </c>
      <c r="L93" s="23">
        <v>6</v>
      </c>
      <c r="M93" s="23">
        <f t="shared" si="3"/>
        <v>17</v>
      </c>
      <c r="N93" s="23">
        <v>2001</v>
      </c>
      <c r="O93" s="23">
        <v>2018</v>
      </c>
      <c r="P93" s="23" t="s">
        <v>226</v>
      </c>
      <c r="Q93" s="23" t="s">
        <v>459</v>
      </c>
      <c r="R93" s="23" t="s">
        <v>460</v>
      </c>
      <c r="S93" s="23" t="s">
        <v>461</v>
      </c>
      <c r="U93" s="27"/>
      <c r="X93" s="23" t="s">
        <v>436</v>
      </c>
    </row>
    <row r="94" spans="1:24" s="23" customFormat="1" ht="14.4">
      <c r="A94" s="23">
        <v>3.1E-2</v>
      </c>
      <c r="B94" s="23" t="s">
        <v>82</v>
      </c>
      <c r="C94" s="23">
        <v>28.5556949485131</v>
      </c>
      <c r="D94" s="23">
        <v>113.17112363609699</v>
      </c>
      <c r="E94" t="s">
        <v>37</v>
      </c>
      <c r="F94" s="23" t="s">
        <v>850</v>
      </c>
      <c r="G94" t="s">
        <v>62</v>
      </c>
      <c r="H94" s="23" t="s">
        <v>458</v>
      </c>
      <c r="I94" s="23" t="s">
        <v>30</v>
      </c>
      <c r="J94" s="23" t="s">
        <v>129</v>
      </c>
      <c r="K94" s="23" t="s">
        <v>31</v>
      </c>
      <c r="L94" s="23">
        <v>6</v>
      </c>
      <c r="M94" s="23">
        <f t="shared" si="3"/>
        <v>17</v>
      </c>
      <c r="N94" s="23">
        <v>2001</v>
      </c>
      <c r="O94" s="23">
        <v>2018</v>
      </c>
      <c r="P94" s="23" t="s">
        <v>226</v>
      </c>
      <c r="Q94" s="23" t="s">
        <v>459</v>
      </c>
      <c r="R94" s="23" t="s">
        <v>460</v>
      </c>
      <c r="S94" s="23" t="s">
        <v>461</v>
      </c>
      <c r="U94" s="27"/>
      <c r="X94" s="23" t="s">
        <v>436</v>
      </c>
    </row>
    <row r="95" spans="1:24" s="23" customFormat="1" ht="14.4">
      <c r="A95" s="23">
        <v>0.02</v>
      </c>
      <c r="B95" s="23" t="s">
        <v>82</v>
      </c>
      <c r="C95" s="23">
        <v>28.5556949485131</v>
      </c>
      <c r="D95" s="23">
        <v>113.17112363609699</v>
      </c>
      <c r="E95" t="s">
        <v>37</v>
      </c>
      <c r="F95" s="23" t="s">
        <v>850</v>
      </c>
      <c r="G95" t="s">
        <v>62</v>
      </c>
      <c r="H95" s="23" t="s">
        <v>458</v>
      </c>
      <c r="I95" s="23" t="s">
        <v>30</v>
      </c>
      <c r="J95" s="23" t="s">
        <v>129</v>
      </c>
      <c r="K95" s="23" t="s">
        <v>80</v>
      </c>
      <c r="L95" s="23">
        <v>6</v>
      </c>
      <c r="M95" s="23">
        <f t="shared" si="3"/>
        <v>17</v>
      </c>
      <c r="N95" s="23">
        <v>2001</v>
      </c>
      <c r="O95" s="23">
        <v>2018</v>
      </c>
      <c r="P95" s="23" t="s">
        <v>226</v>
      </c>
      <c r="Q95" s="23" t="s">
        <v>459</v>
      </c>
      <c r="R95" s="23" t="s">
        <v>460</v>
      </c>
      <c r="S95" s="23" t="s">
        <v>461</v>
      </c>
      <c r="U95" s="27"/>
      <c r="X95" s="23" t="s">
        <v>436</v>
      </c>
    </row>
    <row r="96" spans="1:24" s="23" customFormat="1" ht="14.4">
      <c r="A96" s="23">
        <v>3.4000000000000002E-2</v>
      </c>
      <c r="B96" s="23" t="s">
        <v>82</v>
      </c>
      <c r="C96" s="23">
        <v>28.5556949485131</v>
      </c>
      <c r="D96" s="23">
        <v>113.17112363609699</v>
      </c>
      <c r="E96" t="s">
        <v>37</v>
      </c>
      <c r="F96" s="23" t="s">
        <v>850</v>
      </c>
      <c r="G96" t="s">
        <v>62</v>
      </c>
      <c r="H96" s="23" t="s">
        <v>458</v>
      </c>
      <c r="I96" s="23" t="s">
        <v>30</v>
      </c>
      <c r="J96" s="23" t="s">
        <v>129</v>
      </c>
      <c r="K96" s="23" t="s">
        <v>73</v>
      </c>
      <c r="L96" s="23">
        <v>6</v>
      </c>
      <c r="M96" s="23">
        <f t="shared" si="3"/>
        <v>17</v>
      </c>
      <c r="N96" s="23">
        <v>2001</v>
      </c>
      <c r="O96" s="23">
        <v>2018</v>
      </c>
      <c r="P96" s="23" t="s">
        <v>226</v>
      </c>
      <c r="Q96" s="23" t="s">
        <v>459</v>
      </c>
      <c r="R96" s="23" t="s">
        <v>460</v>
      </c>
      <c r="S96" s="23" t="s">
        <v>461</v>
      </c>
      <c r="U96" s="27"/>
      <c r="X96" s="23" t="s">
        <v>436</v>
      </c>
    </row>
    <row r="97" spans="1:24" s="23" customFormat="1" ht="14.4">
      <c r="A97" s="23">
        <v>3.2000000000000001E-2</v>
      </c>
      <c r="B97" t="s">
        <v>70</v>
      </c>
      <c r="C97">
        <v>31.675255626368699</v>
      </c>
      <c r="D97" s="9">
        <v>87.801174559325503</v>
      </c>
      <c r="E97" t="s">
        <v>37</v>
      </c>
      <c r="F97" s="23" t="s">
        <v>851</v>
      </c>
      <c r="G97" s="23" t="s">
        <v>49</v>
      </c>
      <c r="H97" s="23" t="s">
        <v>583</v>
      </c>
      <c r="I97" s="23" t="s">
        <v>30</v>
      </c>
      <c r="J97" s="23" t="s">
        <v>129</v>
      </c>
      <c r="K97" s="23" t="s">
        <v>31</v>
      </c>
      <c r="L97" s="23">
        <v>81</v>
      </c>
      <c r="M97" s="23">
        <f t="shared" si="3"/>
        <v>38</v>
      </c>
      <c r="N97" s="23">
        <v>1980</v>
      </c>
      <c r="O97" s="23">
        <v>2018</v>
      </c>
      <c r="P97" s="23" t="s">
        <v>226</v>
      </c>
      <c r="Q97" s="8" t="s">
        <v>206</v>
      </c>
      <c r="R97" s="23" t="s">
        <v>816</v>
      </c>
      <c r="S97" s="23" t="s">
        <v>208</v>
      </c>
      <c r="U97" s="27"/>
      <c r="X97" s="23" t="s">
        <v>436</v>
      </c>
    </row>
    <row r="98" spans="1:24" s="23" customFormat="1" ht="14.4">
      <c r="A98" s="23">
        <v>3.0000000000000001E-3</v>
      </c>
      <c r="B98" s="23" t="s">
        <v>257</v>
      </c>
      <c r="C98" s="23">
        <v>24.8371023262591</v>
      </c>
      <c r="D98" s="23">
        <v>102.710885587985</v>
      </c>
      <c r="E98" t="s">
        <v>47</v>
      </c>
      <c r="F98" s="23" t="s">
        <v>852</v>
      </c>
      <c r="G98" s="23" t="s">
        <v>49</v>
      </c>
      <c r="H98" s="23" t="s">
        <v>464</v>
      </c>
      <c r="I98" s="23" t="s">
        <v>30</v>
      </c>
      <c r="J98" s="23" t="s">
        <v>40</v>
      </c>
      <c r="K98" s="23" t="s">
        <v>40</v>
      </c>
      <c r="L98" s="23">
        <v>1</v>
      </c>
      <c r="M98" s="23">
        <f t="shared" si="3"/>
        <v>114</v>
      </c>
      <c r="N98" s="23">
        <v>1900</v>
      </c>
      <c r="O98" s="23">
        <v>2014</v>
      </c>
      <c r="P98" s="23" t="s">
        <v>387</v>
      </c>
      <c r="Q98" s="23" t="s">
        <v>465</v>
      </c>
      <c r="R98" s="23" t="s">
        <v>466</v>
      </c>
      <c r="T98" s="23" t="s">
        <v>467</v>
      </c>
      <c r="U98" s="27"/>
      <c r="X98" s="23" t="s">
        <v>436</v>
      </c>
    </row>
    <row r="99" spans="1:24" s="23" customFormat="1" ht="14.4">
      <c r="A99" s="23">
        <v>0.06</v>
      </c>
      <c r="B99" s="23" t="s">
        <v>469</v>
      </c>
      <c r="C99" s="23">
        <v>25.978851923713702</v>
      </c>
      <c r="D99" s="23">
        <v>104.87335312714499</v>
      </c>
      <c r="E99" t="s">
        <v>37</v>
      </c>
      <c r="F99" s="23" t="s">
        <v>470</v>
      </c>
      <c r="G99" t="s">
        <v>62</v>
      </c>
      <c r="H99" s="23" t="s">
        <v>446</v>
      </c>
      <c r="I99" s="23" t="s">
        <v>30</v>
      </c>
      <c r="J99" s="23" t="s">
        <v>40</v>
      </c>
      <c r="K99" s="23" t="s">
        <v>40</v>
      </c>
      <c r="L99" s="23">
        <v>11</v>
      </c>
      <c r="M99" s="23">
        <f t="shared" si="3"/>
        <v>22</v>
      </c>
      <c r="N99" s="23">
        <v>2001</v>
      </c>
      <c r="O99" s="23">
        <v>2023</v>
      </c>
      <c r="P99" s="23" t="s">
        <v>226</v>
      </c>
      <c r="Q99" s="23" t="s">
        <v>471</v>
      </c>
      <c r="R99" s="23" t="s">
        <v>472</v>
      </c>
      <c r="S99" s="23" t="s">
        <v>461</v>
      </c>
      <c r="U99" s="27" t="s">
        <v>473</v>
      </c>
      <c r="X99" s="23" t="s">
        <v>436</v>
      </c>
    </row>
    <row r="100" spans="1:24" s="23" customFormat="1" ht="14.4">
      <c r="A100" s="23">
        <v>2.1999999999999999E-2</v>
      </c>
      <c r="B100" s="23" t="s">
        <v>257</v>
      </c>
      <c r="C100" s="23">
        <v>24.8371023262591</v>
      </c>
      <c r="D100" s="23">
        <v>102.710885587985</v>
      </c>
      <c r="E100" t="s">
        <v>47</v>
      </c>
      <c r="F100" s="23" t="s">
        <v>185</v>
      </c>
      <c r="G100" t="s">
        <v>62</v>
      </c>
      <c r="H100" s="23" t="s">
        <v>476</v>
      </c>
      <c r="I100" s="23" t="s">
        <v>30</v>
      </c>
      <c r="J100" s="23" t="s">
        <v>148</v>
      </c>
      <c r="K100" s="23" t="s">
        <v>40</v>
      </c>
      <c r="L100" s="23">
        <v>1</v>
      </c>
      <c r="M100" s="23">
        <f t="shared" si="3"/>
        <v>17</v>
      </c>
      <c r="N100" s="23">
        <v>2001</v>
      </c>
      <c r="O100" s="23">
        <v>2018</v>
      </c>
      <c r="P100" s="23" t="s">
        <v>226</v>
      </c>
      <c r="Q100" s="23" t="s">
        <v>477</v>
      </c>
      <c r="R100" s="23" t="s">
        <v>478</v>
      </c>
      <c r="S100" s="23" t="s">
        <v>362</v>
      </c>
      <c r="U100" s="23" t="s">
        <v>479</v>
      </c>
      <c r="X100" s="23" t="s">
        <v>436</v>
      </c>
    </row>
    <row r="101" spans="1:24" s="23" customFormat="1" ht="14.4">
      <c r="A101" s="23">
        <v>2.1000000000000001E-2</v>
      </c>
      <c r="B101" s="23" t="s">
        <v>257</v>
      </c>
      <c r="C101" s="23">
        <v>24.8371023262591</v>
      </c>
      <c r="D101" s="23">
        <v>102.710885587985</v>
      </c>
      <c r="E101" t="s">
        <v>47</v>
      </c>
      <c r="F101" s="23" t="s">
        <v>185</v>
      </c>
      <c r="G101" t="s">
        <v>62</v>
      </c>
      <c r="H101" s="23" t="s">
        <v>476</v>
      </c>
      <c r="I101" s="23" t="s">
        <v>30</v>
      </c>
      <c r="J101" s="23" t="s">
        <v>155</v>
      </c>
      <c r="K101" s="23" t="s">
        <v>155</v>
      </c>
      <c r="L101" s="23">
        <v>1</v>
      </c>
      <c r="M101" s="23">
        <f t="shared" si="3"/>
        <v>17</v>
      </c>
      <c r="N101" s="23">
        <v>2001</v>
      </c>
      <c r="O101" s="23">
        <v>2018</v>
      </c>
      <c r="P101" s="23" t="s">
        <v>226</v>
      </c>
      <c r="Q101" s="23" t="s">
        <v>477</v>
      </c>
      <c r="R101" s="23" t="s">
        <v>478</v>
      </c>
      <c r="S101" s="23" t="s">
        <v>362</v>
      </c>
      <c r="U101" s="23" t="s">
        <v>479</v>
      </c>
      <c r="X101" s="23" t="s">
        <v>436</v>
      </c>
    </row>
    <row r="102" spans="1:24" s="23" customFormat="1" ht="14.4">
      <c r="A102" s="23">
        <v>4.2000000000000003E-2</v>
      </c>
      <c r="B102" s="23" t="s">
        <v>388</v>
      </c>
      <c r="C102" s="23">
        <v>25.978851923713702</v>
      </c>
      <c r="D102" s="23">
        <v>104.87335312714499</v>
      </c>
      <c r="E102" t="s">
        <v>37</v>
      </c>
      <c r="F102" s="23" t="s">
        <v>480</v>
      </c>
      <c r="G102" t="s">
        <v>62</v>
      </c>
      <c r="H102" s="23" t="s">
        <v>390</v>
      </c>
      <c r="I102" s="23" t="s">
        <v>30</v>
      </c>
      <c r="J102" s="23" t="s">
        <v>40</v>
      </c>
      <c r="K102" t="s">
        <v>40</v>
      </c>
      <c r="L102" s="23">
        <v>11</v>
      </c>
      <c r="M102" s="23">
        <v>17</v>
      </c>
      <c r="N102" s="23">
        <v>2001</v>
      </c>
      <c r="O102" s="23">
        <v>2019</v>
      </c>
      <c r="P102" s="23" t="s">
        <v>226</v>
      </c>
      <c r="Q102" s="8" t="s">
        <v>391</v>
      </c>
      <c r="R102" s="23" t="s">
        <v>481</v>
      </c>
      <c r="S102" s="23" t="s">
        <v>393</v>
      </c>
      <c r="U102" s="23" t="s">
        <v>482</v>
      </c>
      <c r="X102" s="23" t="s">
        <v>436</v>
      </c>
    </row>
    <row r="103" spans="1:24" s="23" customFormat="1" ht="14.4">
      <c r="A103" s="23">
        <v>-1.2E-2</v>
      </c>
      <c r="B103" s="23" t="s">
        <v>483</v>
      </c>
      <c r="C103" s="23">
        <v>12.012765548296599</v>
      </c>
      <c r="D103" s="23">
        <v>37.286467110449998</v>
      </c>
      <c r="E103" t="s">
        <v>47</v>
      </c>
      <c r="F103" s="23" t="s">
        <v>475</v>
      </c>
      <c r="G103" t="s">
        <v>62</v>
      </c>
      <c r="H103" s="23" t="s">
        <v>485</v>
      </c>
      <c r="I103" s="23" t="s">
        <v>30</v>
      </c>
      <c r="J103" s="23" t="s">
        <v>40</v>
      </c>
      <c r="K103" t="s">
        <v>40</v>
      </c>
      <c r="L103" s="23">
        <v>1</v>
      </c>
      <c r="M103" s="23">
        <f t="shared" ref="M103:M111" si="4">O103-N103</f>
        <v>21</v>
      </c>
      <c r="N103" s="23">
        <v>2001</v>
      </c>
      <c r="O103" s="23">
        <v>2022</v>
      </c>
      <c r="P103" s="23" t="s">
        <v>226</v>
      </c>
      <c r="Q103" s="23" t="s">
        <v>486</v>
      </c>
      <c r="R103" s="23" t="s">
        <v>487</v>
      </c>
      <c r="S103" s="23" t="s">
        <v>55</v>
      </c>
      <c r="U103" s="23" t="s">
        <v>488</v>
      </c>
      <c r="V103" s="23" t="s">
        <v>489</v>
      </c>
      <c r="X103" s="23" t="s">
        <v>436</v>
      </c>
    </row>
    <row r="104" spans="1:24" s="23" customFormat="1" ht="14.4">
      <c r="A104" s="23">
        <v>1E-3</v>
      </c>
      <c r="B104" s="23" t="s">
        <v>483</v>
      </c>
      <c r="C104" s="23">
        <v>12.012765548296599</v>
      </c>
      <c r="D104" s="23">
        <v>37.286467110449998</v>
      </c>
      <c r="E104" t="s">
        <v>47</v>
      </c>
      <c r="F104" s="23" t="s">
        <v>475</v>
      </c>
      <c r="G104" t="s">
        <v>62</v>
      </c>
      <c r="H104" s="23" t="s">
        <v>485</v>
      </c>
      <c r="I104" s="23" t="s">
        <v>30</v>
      </c>
      <c r="J104" s="23" t="s">
        <v>129</v>
      </c>
      <c r="K104" s="23" t="s">
        <v>490</v>
      </c>
      <c r="L104" s="23">
        <v>1</v>
      </c>
      <c r="M104" s="23">
        <f t="shared" si="4"/>
        <v>21</v>
      </c>
      <c r="N104" s="23">
        <v>2001</v>
      </c>
      <c r="O104" s="23">
        <v>2022</v>
      </c>
      <c r="P104" s="23" t="s">
        <v>226</v>
      </c>
      <c r="Q104" s="23" t="s">
        <v>486</v>
      </c>
      <c r="R104" s="23" t="s">
        <v>487</v>
      </c>
      <c r="S104" s="23" t="s">
        <v>55</v>
      </c>
      <c r="U104" s="23" t="s">
        <v>488</v>
      </c>
      <c r="X104" s="23" t="s">
        <v>436</v>
      </c>
    </row>
    <row r="105" spans="1:24" s="23" customFormat="1" ht="14.4">
      <c r="A105" s="23">
        <v>-1.2E-2</v>
      </c>
      <c r="B105" s="23" t="s">
        <v>483</v>
      </c>
      <c r="C105" s="23">
        <v>12.012765548296599</v>
      </c>
      <c r="D105" s="23">
        <v>37.286467110449998</v>
      </c>
      <c r="E105" t="s">
        <v>47</v>
      </c>
      <c r="F105" s="23" t="s">
        <v>475</v>
      </c>
      <c r="G105" t="s">
        <v>62</v>
      </c>
      <c r="H105" s="23" t="s">
        <v>485</v>
      </c>
      <c r="I105" s="23" t="s">
        <v>30</v>
      </c>
      <c r="J105" s="23" t="s">
        <v>129</v>
      </c>
      <c r="K105" t="s">
        <v>491</v>
      </c>
      <c r="L105" s="23">
        <v>1</v>
      </c>
      <c r="M105" s="23">
        <f t="shared" si="4"/>
        <v>21</v>
      </c>
      <c r="N105" s="23">
        <v>2001</v>
      </c>
      <c r="O105" s="23">
        <v>2022</v>
      </c>
      <c r="P105" s="23" t="s">
        <v>226</v>
      </c>
      <c r="Q105" s="23" t="s">
        <v>486</v>
      </c>
      <c r="R105" s="23" t="s">
        <v>487</v>
      </c>
      <c r="S105" s="23" t="s">
        <v>55</v>
      </c>
      <c r="U105" s="23" t="s">
        <v>488</v>
      </c>
      <c r="X105" s="23" t="s">
        <v>436</v>
      </c>
    </row>
    <row r="106" spans="1:24" s="23" customFormat="1" ht="14.4">
      <c r="A106" s="23">
        <v>-1.6E-2</v>
      </c>
      <c r="B106" s="23" t="s">
        <v>483</v>
      </c>
      <c r="C106" s="23">
        <v>12.012765548296599</v>
      </c>
      <c r="D106" s="23">
        <v>37.286467110449998</v>
      </c>
      <c r="E106" t="s">
        <v>47</v>
      </c>
      <c r="F106" s="23" t="s">
        <v>475</v>
      </c>
      <c r="G106" t="s">
        <v>62</v>
      </c>
      <c r="H106" s="23" t="s">
        <v>485</v>
      </c>
      <c r="I106" s="23" t="s">
        <v>30</v>
      </c>
      <c r="J106" s="23" t="s">
        <v>129</v>
      </c>
      <c r="K106" t="s">
        <v>492</v>
      </c>
      <c r="L106" s="23">
        <v>1</v>
      </c>
      <c r="M106" s="23">
        <f t="shared" si="4"/>
        <v>21</v>
      </c>
      <c r="N106" s="23">
        <v>2001</v>
      </c>
      <c r="O106" s="23">
        <v>2022</v>
      </c>
      <c r="P106" s="23" t="s">
        <v>226</v>
      </c>
      <c r="Q106" s="23" t="s">
        <v>486</v>
      </c>
      <c r="R106" s="23" t="s">
        <v>487</v>
      </c>
      <c r="S106" s="23" t="s">
        <v>55</v>
      </c>
      <c r="U106" s="23" t="s">
        <v>488</v>
      </c>
      <c r="X106" s="23" t="s">
        <v>436</v>
      </c>
    </row>
    <row r="107" spans="1:24" s="23" customFormat="1" ht="14.4">
      <c r="A107" s="23">
        <v>-1.2999999999999999E-2</v>
      </c>
      <c r="B107" s="23" t="s">
        <v>483</v>
      </c>
      <c r="C107" s="23">
        <v>12.012765548296599</v>
      </c>
      <c r="D107" s="23">
        <v>37.286467110449998</v>
      </c>
      <c r="E107" t="s">
        <v>47</v>
      </c>
      <c r="F107" s="23" t="s">
        <v>475</v>
      </c>
      <c r="G107" t="s">
        <v>62</v>
      </c>
      <c r="H107" s="23" t="s">
        <v>485</v>
      </c>
      <c r="I107" s="23" t="s">
        <v>30</v>
      </c>
      <c r="J107" s="23" t="s">
        <v>129</v>
      </c>
      <c r="K107" t="s">
        <v>493</v>
      </c>
      <c r="L107" s="23">
        <v>1</v>
      </c>
      <c r="M107" s="23">
        <f t="shared" si="4"/>
        <v>21</v>
      </c>
      <c r="N107" s="23">
        <v>2001</v>
      </c>
      <c r="O107" s="23">
        <v>2022</v>
      </c>
      <c r="P107" s="23" t="s">
        <v>226</v>
      </c>
      <c r="Q107" s="23" t="s">
        <v>486</v>
      </c>
      <c r="R107" s="23" t="s">
        <v>487</v>
      </c>
      <c r="S107" s="23" t="s">
        <v>55</v>
      </c>
      <c r="U107" s="23" t="s">
        <v>488</v>
      </c>
      <c r="X107" s="23" t="s">
        <v>436</v>
      </c>
    </row>
    <row r="108" spans="1:24" s="23" customFormat="1" ht="14.4">
      <c r="A108" s="23">
        <v>0.01</v>
      </c>
      <c r="B108" s="23" t="s">
        <v>257</v>
      </c>
      <c r="C108" s="23">
        <v>24.8371023262591</v>
      </c>
      <c r="D108" s="23">
        <v>102.710885587985</v>
      </c>
      <c r="E108" t="s">
        <v>47</v>
      </c>
      <c r="F108" s="23" t="s">
        <v>372</v>
      </c>
      <c r="G108" t="s">
        <v>62</v>
      </c>
      <c r="H108" s="23" t="s">
        <v>390</v>
      </c>
      <c r="I108" s="23" t="s">
        <v>30</v>
      </c>
      <c r="J108" s="23" t="s">
        <v>148</v>
      </c>
      <c r="K108" s="23" t="s">
        <v>40</v>
      </c>
      <c r="L108" s="23">
        <v>1</v>
      </c>
      <c r="M108" s="23">
        <f t="shared" si="4"/>
        <v>17</v>
      </c>
      <c r="N108" s="23">
        <v>2001</v>
      </c>
      <c r="O108" s="23">
        <v>2018</v>
      </c>
      <c r="P108" s="23" t="s">
        <v>226</v>
      </c>
      <c r="Q108" s="8" t="s">
        <v>406</v>
      </c>
      <c r="R108" s="23" t="s">
        <v>494</v>
      </c>
      <c r="S108" s="23" t="s">
        <v>408</v>
      </c>
      <c r="U108" s="23" t="s">
        <v>495</v>
      </c>
      <c r="X108" s="23" t="s">
        <v>436</v>
      </c>
    </row>
    <row r="109" spans="1:24" s="23" customFormat="1" ht="14.4">
      <c r="A109" s="23">
        <v>0.02</v>
      </c>
      <c r="B109" s="23" t="s">
        <v>257</v>
      </c>
      <c r="C109" s="23">
        <v>24.8371023262591</v>
      </c>
      <c r="D109" s="23">
        <v>102.710885587985</v>
      </c>
      <c r="E109" t="s">
        <v>47</v>
      </c>
      <c r="F109" s="23" t="s">
        <v>372</v>
      </c>
      <c r="G109" t="s">
        <v>62</v>
      </c>
      <c r="H109" s="23" t="s">
        <v>390</v>
      </c>
      <c r="I109" s="23" t="s">
        <v>30</v>
      </c>
      <c r="J109" s="23" t="s">
        <v>155</v>
      </c>
      <c r="K109" s="23" t="s">
        <v>155</v>
      </c>
      <c r="L109" s="23">
        <v>1</v>
      </c>
      <c r="M109" s="23">
        <f t="shared" si="4"/>
        <v>17</v>
      </c>
      <c r="N109" s="23">
        <v>2001</v>
      </c>
      <c r="O109" s="23">
        <v>2018</v>
      </c>
      <c r="P109" s="23" t="s">
        <v>226</v>
      </c>
      <c r="Q109" s="8" t="s">
        <v>406</v>
      </c>
      <c r="R109" s="23" t="s">
        <v>494</v>
      </c>
      <c r="S109" s="23" t="s">
        <v>408</v>
      </c>
      <c r="U109" s="23" t="s">
        <v>495</v>
      </c>
      <c r="X109" s="23" t="s">
        <v>436</v>
      </c>
    </row>
    <row r="110" spans="1:24" s="23" customFormat="1" ht="14.4">
      <c r="A110" s="23">
        <v>1.2999999999999999E-2</v>
      </c>
      <c r="B110" t="s">
        <v>26</v>
      </c>
      <c r="C110" s="8">
        <v>0</v>
      </c>
      <c r="D110" s="8">
        <v>-108.8</v>
      </c>
      <c r="E110" t="s">
        <v>26</v>
      </c>
      <c r="F110" s="23" t="s">
        <v>496</v>
      </c>
      <c r="G110" t="s">
        <v>49</v>
      </c>
      <c r="H110" s="23" t="s">
        <v>853</v>
      </c>
      <c r="I110" s="23" t="s">
        <v>30</v>
      </c>
      <c r="J110" s="23" t="s">
        <v>40</v>
      </c>
      <c r="K110" t="s">
        <v>40</v>
      </c>
      <c r="L110" s="23">
        <v>1260</v>
      </c>
      <c r="M110" s="23">
        <f t="shared" si="4"/>
        <v>43</v>
      </c>
      <c r="N110" s="23">
        <v>1979</v>
      </c>
      <c r="O110" s="23">
        <v>2022</v>
      </c>
      <c r="P110" s="23" t="s">
        <v>226</v>
      </c>
      <c r="Q110" s="5" t="s">
        <v>499</v>
      </c>
      <c r="R110" s="23" t="s">
        <v>500</v>
      </c>
      <c r="S110" s="23" t="s">
        <v>501</v>
      </c>
      <c r="U110" s="23" t="s">
        <v>502</v>
      </c>
      <c r="X110" s="23" t="s">
        <v>436</v>
      </c>
    </row>
    <row r="111" spans="1:24" s="23" customFormat="1" ht="14.4">
      <c r="A111" s="23">
        <v>2.3E-2</v>
      </c>
      <c r="B111" t="s">
        <v>26</v>
      </c>
      <c r="C111" s="8">
        <v>0</v>
      </c>
      <c r="D111" s="8">
        <v>-108.8</v>
      </c>
      <c r="E111" t="s">
        <v>26</v>
      </c>
      <c r="F111" s="23" t="s">
        <v>496</v>
      </c>
      <c r="G111" t="s">
        <v>49</v>
      </c>
      <c r="H111" s="23" t="s">
        <v>853</v>
      </c>
      <c r="I111" s="23" t="s">
        <v>30</v>
      </c>
      <c r="J111" s="23" t="s">
        <v>40</v>
      </c>
      <c r="K111" t="s">
        <v>31</v>
      </c>
      <c r="L111" s="23">
        <v>1260</v>
      </c>
      <c r="M111" s="23">
        <f t="shared" si="4"/>
        <v>43</v>
      </c>
      <c r="N111" s="23">
        <v>1979</v>
      </c>
      <c r="O111" s="23">
        <v>2022</v>
      </c>
      <c r="P111" s="23" t="s">
        <v>226</v>
      </c>
      <c r="Q111" s="5" t="s">
        <v>499</v>
      </c>
      <c r="R111" s="23" t="s">
        <v>500</v>
      </c>
      <c r="S111" s="23" t="s">
        <v>501</v>
      </c>
      <c r="U111" s="23" t="s">
        <v>502</v>
      </c>
      <c r="X111" s="23" t="s">
        <v>436</v>
      </c>
    </row>
    <row r="112" spans="1:24" s="23" customFormat="1" ht="14.4">
      <c r="A112" s="23">
        <v>7.0000000000000007E-2</v>
      </c>
      <c r="B112" s="86" t="s">
        <v>506</v>
      </c>
      <c r="C112" s="23">
        <v>29.5973606162494</v>
      </c>
      <c r="D112" s="23">
        <v>118.973221454235</v>
      </c>
      <c r="E112" t="s">
        <v>47</v>
      </c>
      <c r="F112" s="23" t="s">
        <v>854</v>
      </c>
      <c r="G112" t="s">
        <v>28</v>
      </c>
      <c r="H112" s="23" t="s">
        <v>508</v>
      </c>
      <c r="I112" s="23" t="s">
        <v>30</v>
      </c>
      <c r="J112" s="23" t="s">
        <v>40</v>
      </c>
      <c r="K112" t="s">
        <v>40</v>
      </c>
      <c r="L112" s="23">
        <v>1</v>
      </c>
      <c r="M112" s="23">
        <v>36</v>
      </c>
      <c r="N112" s="23">
        <v>1986</v>
      </c>
      <c r="O112" s="23">
        <v>2021</v>
      </c>
      <c r="P112" s="23" t="s">
        <v>226</v>
      </c>
      <c r="Q112" t="s">
        <v>509</v>
      </c>
      <c r="R112" s="23" t="s">
        <v>510</v>
      </c>
      <c r="S112" s="23" t="s">
        <v>376</v>
      </c>
      <c r="U112" s="23" t="s">
        <v>511</v>
      </c>
      <c r="X112" s="23" t="s">
        <v>436</v>
      </c>
    </row>
    <row r="113" spans="1:24" s="23" customFormat="1" ht="14.4">
      <c r="A113">
        <v>2.5999999999999999E-2</v>
      </c>
      <c r="B113" t="s">
        <v>82</v>
      </c>
      <c r="C113">
        <v>34.3411033236398</v>
      </c>
      <c r="D113" s="9">
        <v>103.52721500615201</v>
      </c>
      <c r="E113" t="s">
        <v>37</v>
      </c>
      <c r="F113" t="s">
        <v>372</v>
      </c>
      <c r="G113" t="s">
        <v>62</v>
      </c>
      <c r="H113" t="s">
        <v>84</v>
      </c>
      <c r="I113" t="s">
        <v>30</v>
      </c>
      <c r="J113" s="23" t="s">
        <v>40</v>
      </c>
      <c r="K113" t="s">
        <v>40</v>
      </c>
      <c r="L113">
        <v>169</v>
      </c>
      <c r="M113">
        <v>15</v>
      </c>
      <c r="N113">
        <v>2001</v>
      </c>
      <c r="O113">
        <v>2016</v>
      </c>
      <c r="P113" s="23" t="s">
        <v>387</v>
      </c>
      <c r="Q113" s="4" t="s">
        <v>149</v>
      </c>
      <c r="R113" s="23" t="s">
        <v>150</v>
      </c>
      <c r="X113" s="23" t="s">
        <v>436</v>
      </c>
    </row>
    <row r="114" spans="1:24" s="23" customFormat="1" ht="14.4">
      <c r="A114">
        <v>2.1000000000000001E-2</v>
      </c>
      <c r="B114" t="s">
        <v>82</v>
      </c>
      <c r="C114">
        <v>34.3411033236398</v>
      </c>
      <c r="D114" s="9">
        <v>103.52721500615201</v>
      </c>
      <c r="E114" t="s">
        <v>37</v>
      </c>
      <c r="F114" t="s">
        <v>372</v>
      </c>
      <c r="G114" t="s">
        <v>62</v>
      </c>
      <c r="H114" t="s">
        <v>84</v>
      </c>
      <c r="I114" t="s">
        <v>30</v>
      </c>
      <c r="J114" s="23" t="s">
        <v>148</v>
      </c>
      <c r="K114" t="s">
        <v>40</v>
      </c>
      <c r="L114">
        <v>169</v>
      </c>
      <c r="M114">
        <v>15</v>
      </c>
      <c r="N114">
        <v>2001</v>
      </c>
      <c r="O114">
        <v>2016</v>
      </c>
      <c r="P114" s="23" t="s">
        <v>387</v>
      </c>
      <c r="Q114" s="4" t="s">
        <v>149</v>
      </c>
      <c r="R114" s="23" t="s">
        <v>150</v>
      </c>
      <c r="X114" s="23" t="s">
        <v>436</v>
      </c>
    </row>
    <row r="115" spans="1:24" s="23" customFormat="1" ht="14.4">
      <c r="A115">
        <v>3.1E-2</v>
      </c>
      <c r="B115" t="s">
        <v>82</v>
      </c>
      <c r="C115">
        <v>34.3411033236398</v>
      </c>
      <c r="D115" s="9">
        <v>103.52721500615201</v>
      </c>
      <c r="E115" t="s">
        <v>37</v>
      </c>
      <c r="F115" t="s">
        <v>372</v>
      </c>
      <c r="G115" t="s">
        <v>62</v>
      </c>
      <c r="H115" t="s">
        <v>84</v>
      </c>
      <c r="I115" t="s">
        <v>30</v>
      </c>
      <c r="J115" s="23" t="s">
        <v>155</v>
      </c>
      <c r="K115" t="s">
        <v>155</v>
      </c>
      <c r="L115">
        <v>169</v>
      </c>
      <c r="M115">
        <v>15</v>
      </c>
      <c r="N115">
        <v>2001</v>
      </c>
      <c r="O115">
        <v>2016</v>
      </c>
      <c r="P115" s="23" t="s">
        <v>387</v>
      </c>
      <c r="Q115" s="4" t="s">
        <v>149</v>
      </c>
      <c r="R115" s="23" t="s">
        <v>150</v>
      </c>
      <c r="X115" s="23" t="s">
        <v>436</v>
      </c>
    </row>
    <row r="116" spans="1:24" s="23" customFormat="1" ht="14.5" customHeight="1">
      <c r="A116" s="23">
        <v>5.8000000000000003E-2</v>
      </c>
      <c r="B116" s="23" t="s">
        <v>60</v>
      </c>
      <c r="C116">
        <v>55.689302269141699</v>
      </c>
      <c r="D116" s="9">
        <v>14.8641169214791</v>
      </c>
      <c r="E116" t="s">
        <v>37</v>
      </c>
      <c r="F116" s="23" t="s">
        <v>103</v>
      </c>
      <c r="G116" t="s">
        <v>103</v>
      </c>
      <c r="H116" s="23" t="s">
        <v>390</v>
      </c>
      <c r="I116" s="23" t="s">
        <v>855</v>
      </c>
      <c r="J116" s="23" t="s">
        <v>40</v>
      </c>
      <c r="K116" t="s">
        <v>40</v>
      </c>
      <c r="L116" s="23">
        <v>10</v>
      </c>
      <c r="M116" s="23">
        <v>50</v>
      </c>
      <c r="N116" s="23">
        <v>1966</v>
      </c>
      <c r="O116" s="23">
        <v>2015</v>
      </c>
      <c r="P116" s="23" t="s">
        <v>387</v>
      </c>
      <c r="Q116" s="58" t="s">
        <v>273</v>
      </c>
      <c r="R116" s="23" t="s">
        <v>274</v>
      </c>
      <c r="X116" s="23" t="s">
        <v>436</v>
      </c>
    </row>
    <row r="117" spans="1:24" s="23" customFormat="1" ht="14.4">
      <c r="A117" s="23">
        <v>0.02</v>
      </c>
      <c r="B117" s="23" t="s">
        <v>257</v>
      </c>
      <c r="C117" s="23">
        <v>24.8371023262591</v>
      </c>
      <c r="D117" s="23">
        <v>102.710885587985</v>
      </c>
      <c r="E117" t="s">
        <v>47</v>
      </c>
      <c r="F117" s="23" t="s">
        <v>513</v>
      </c>
      <c r="G117" t="s">
        <v>62</v>
      </c>
      <c r="H117" s="23" t="s">
        <v>856</v>
      </c>
      <c r="I117" s="23" t="s">
        <v>30</v>
      </c>
      <c r="J117" s="23" t="s">
        <v>40</v>
      </c>
      <c r="K117" t="s">
        <v>40</v>
      </c>
      <c r="L117" s="23">
        <v>1</v>
      </c>
      <c r="M117" s="23">
        <v>18</v>
      </c>
      <c r="N117" s="23">
        <v>2001</v>
      </c>
      <c r="O117" s="23">
        <v>2018</v>
      </c>
      <c r="P117" s="23" t="s">
        <v>387</v>
      </c>
      <c r="Q117" s="23" t="s">
        <v>515</v>
      </c>
      <c r="R117" s="23" t="s">
        <v>516</v>
      </c>
      <c r="X117" s="23" t="s">
        <v>436</v>
      </c>
    </row>
    <row r="118" spans="1:24" s="23" customFormat="1" ht="14.4">
      <c r="A118" s="23">
        <v>3.6999999999999998E-2</v>
      </c>
      <c r="B118" s="23" t="s">
        <v>36</v>
      </c>
      <c r="C118" s="23">
        <v>53.498880694201802</v>
      </c>
      <c r="D118" s="23">
        <v>18.261777685730799</v>
      </c>
      <c r="E118" t="s">
        <v>37</v>
      </c>
      <c r="F118" s="23" t="s">
        <v>857</v>
      </c>
      <c r="G118" t="s">
        <v>62</v>
      </c>
      <c r="H118" s="23" t="s">
        <v>84</v>
      </c>
      <c r="I118" s="23" t="s">
        <v>30</v>
      </c>
      <c r="J118" s="23" t="s">
        <v>40</v>
      </c>
      <c r="K118" t="s">
        <v>40</v>
      </c>
      <c r="L118" s="23">
        <v>10</v>
      </c>
      <c r="M118" s="23">
        <f>O118-N118</f>
        <v>44</v>
      </c>
      <c r="N118" s="23">
        <v>1971</v>
      </c>
      <c r="O118" s="23">
        <v>2015</v>
      </c>
      <c r="P118" s="23" t="s">
        <v>387</v>
      </c>
      <c r="Q118" s="23" t="s">
        <v>518</v>
      </c>
      <c r="R118" s="23" t="s">
        <v>519</v>
      </c>
      <c r="X118" s="23" t="s">
        <v>436</v>
      </c>
    </row>
    <row r="119" spans="1:24" s="23" customFormat="1" ht="14.4">
      <c r="A119" s="23">
        <v>0.12</v>
      </c>
      <c r="B119" s="23" t="s">
        <v>257</v>
      </c>
      <c r="C119" s="23">
        <v>24.8371023262591</v>
      </c>
      <c r="D119" s="23">
        <v>102.710885587985</v>
      </c>
      <c r="E119" t="s">
        <v>47</v>
      </c>
      <c r="F119" s="23" t="s">
        <v>513</v>
      </c>
      <c r="G119" t="s">
        <v>62</v>
      </c>
      <c r="H119" s="85" t="s">
        <v>520</v>
      </c>
      <c r="I119" s="23" t="s">
        <v>30</v>
      </c>
      <c r="J119" s="23" t="s">
        <v>148</v>
      </c>
      <c r="K119" t="s">
        <v>40</v>
      </c>
      <c r="L119" s="23">
        <v>1</v>
      </c>
      <c r="M119" s="23">
        <v>17</v>
      </c>
      <c r="N119" s="23">
        <v>2001</v>
      </c>
      <c r="O119" s="23">
        <v>2017</v>
      </c>
      <c r="P119" s="23" t="s">
        <v>387</v>
      </c>
      <c r="Q119" s="5" t="s">
        <v>521</v>
      </c>
      <c r="R119" s="23" t="s">
        <v>522</v>
      </c>
      <c r="X119" s="23" t="s">
        <v>436</v>
      </c>
    </row>
    <row r="120" spans="1:24" s="23" customFormat="1" ht="14.4">
      <c r="A120" s="23">
        <v>0.09</v>
      </c>
      <c r="B120" s="23" t="s">
        <v>257</v>
      </c>
      <c r="C120" s="23">
        <v>24.8371023262591</v>
      </c>
      <c r="D120" s="23">
        <v>102.710885587985</v>
      </c>
      <c r="E120" t="s">
        <v>47</v>
      </c>
      <c r="F120" s="23" t="s">
        <v>513</v>
      </c>
      <c r="G120" t="s">
        <v>62</v>
      </c>
      <c r="H120" s="85" t="s">
        <v>520</v>
      </c>
      <c r="I120" s="23" t="s">
        <v>30</v>
      </c>
      <c r="J120" s="23" t="s">
        <v>155</v>
      </c>
      <c r="K120" t="s">
        <v>155</v>
      </c>
      <c r="L120" s="23">
        <v>1</v>
      </c>
      <c r="M120" s="23">
        <v>17</v>
      </c>
      <c r="N120" s="23">
        <v>2001</v>
      </c>
      <c r="O120" s="23">
        <v>2017</v>
      </c>
      <c r="P120" s="23" t="s">
        <v>387</v>
      </c>
      <c r="Q120" s="23" t="s">
        <v>525</v>
      </c>
      <c r="R120" s="23" t="s">
        <v>522</v>
      </c>
      <c r="X120" s="23" t="s">
        <v>436</v>
      </c>
    </row>
    <row r="121" spans="1:24" s="23" customFormat="1" ht="14.4">
      <c r="A121">
        <v>3.3099999999999997E-2</v>
      </c>
      <c r="B121" t="s">
        <v>526</v>
      </c>
      <c r="C121" s="8">
        <v>0</v>
      </c>
      <c r="D121" s="8">
        <v>-86.4</v>
      </c>
      <c r="E121" t="s">
        <v>26</v>
      </c>
      <c r="F121" s="23" t="s">
        <v>527</v>
      </c>
      <c r="G121" t="s">
        <v>62</v>
      </c>
      <c r="H121" s="23" t="s">
        <v>528</v>
      </c>
      <c r="I121" s="23" t="s">
        <v>30</v>
      </c>
      <c r="J121" s="23" t="s">
        <v>40</v>
      </c>
      <c r="K121" t="s">
        <v>40</v>
      </c>
      <c r="L121" s="23">
        <v>10</v>
      </c>
      <c r="M121" s="23">
        <f>O121-N121</f>
        <v>17</v>
      </c>
      <c r="N121" s="23">
        <v>2003</v>
      </c>
      <c r="O121" s="23">
        <v>2020</v>
      </c>
      <c r="P121" s="23" t="s">
        <v>387</v>
      </c>
      <c r="Q121" s="23" t="s">
        <v>529</v>
      </c>
      <c r="R121" s="23" t="s">
        <v>530</v>
      </c>
      <c r="T121" s="23" t="s">
        <v>531</v>
      </c>
      <c r="X121" s="23" t="s">
        <v>436</v>
      </c>
    </row>
    <row r="122" spans="1:24" s="23" customFormat="1" ht="14.4">
      <c r="A122">
        <v>3.8800000000000001E-2</v>
      </c>
      <c r="B122" t="s">
        <v>526</v>
      </c>
      <c r="C122" s="8">
        <v>0</v>
      </c>
      <c r="D122" s="8">
        <v>-86.4</v>
      </c>
      <c r="E122" t="s">
        <v>26</v>
      </c>
      <c r="F122" s="23" t="s">
        <v>532</v>
      </c>
      <c r="G122" t="s">
        <v>62</v>
      </c>
      <c r="H122" s="23" t="s">
        <v>533</v>
      </c>
      <c r="I122" s="23" t="s">
        <v>30</v>
      </c>
      <c r="J122" s="23" t="s">
        <v>40</v>
      </c>
      <c r="K122" t="s">
        <v>40</v>
      </c>
      <c r="L122" s="23">
        <v>10</v>
      </c>
      <c r="M122" s="23">
        <f>O122-N122</f>
        <v>17</v>
      </c>
      <c r="N122" s="23">
        <v>2003</v>
      </c>
      <c r="O122" s="23">
        <v>2020</v>
      </c>
      <c r="P122" s="23" t="s">
        <v>387</v>
      </c>
      <c r="Q122" s="23" t="s">
        <v>529</v>
      </c>
      <c r="R122" s="23" t="s">
        <v>530</v>
      </c>
      <c r="T122" s="23" t="s">
        <v>531</v>
      </c>
      <c r="X122" s="23" t="s">
        <v>436</v>
      </c>
    </row>
    <row r="123" spans="1:24" s="23" customFormat="1" ht="14.4">
      <c r="A123" s="23">
        <v>3.5000000000000003E-2</v>
      </c>
      <c r="B123" s="23" t="s">
        <v>60</v>
      </c>
      <c r="C123">
        <v>55.689302269141699</v>
      </c>
      <c r="D123" s="9">
        <v>14.8641169214791</v>
      </c>
      <c r="E123" t="s">
        <v>37</v>
      </c>
      <c r="F123" s="23" t="s">
        <v>858</v>
      </c>
      <c r="G123" t="s">
        <v>49</v>
      </c>
      <c r="H123" s="23" t="s">
        <v>534</v>
      </c>
      <c r="I123" s="23" t="s">
        <v>859</v>
      </c>
      <c r="J123" s="23" t="s">
        <v>40</v>
      </c>
      <c r="K123" t="s">
        <v>40</v>
      </c>
      <c r="L123" s="23">
        <v>8</v>
      </c>
      <c r="M123" s="23">
        <f>O123-N123</f>
        <v>41</v>
      </c>
      <c r="N123" s="23">
        <v>1973</v>
      </c>
      <c r="O123" s="23">
        <v>2014</v>
      </c>
      <c r="P123" s="23" t="s">
        <v>387</v>
      </c>
      <c r="Q123" s="23" t="s">
        <v>535</v>
      </c>
      <c r="R123" s="23" t="s">
        <v>813</v>
      </c>
      <c r="X123" s="23" t="s">
        <v>436</v>
      </c>
    </row>
    <row r="124" spans="1:24" s="23" customFormat="1" ht="14.4">
      <c r="A124">
        <v>3.2000000000000001E-2</v>
      </c>
      <c r="B124" s="23" t="s">
        <v>60</v>
      </c>
      <c r="C124">
        <v>55.689302269141699</v>
      </c>
      <c r="D124" s="9">
        <v>14.8641169214791</v>
      </c>
      <c r="E124" t="s">
        <v>37</v>
      </c>
      <c r="F124" s="23" t="s">
        <v>858</v>
      </c>
      <c r="G124" t="s">
        <v>49</v>
      </c>
      <c r="H124" s="23" t="s">
        <v>534</v>
      </c>
      <c r="I124" s="23" t="s">
        <v>859</v>
      </c>
      <c r="J124" s="23" t="s">
        <v>129</v>
      </c>
      <c r="K124" t="s">
        <v>31</v>
      </c>
      <c r="L124" s="23">
        <v>8</v>
      </c>
      <c r="M124" s="23">
        <f>O124-N124</f>
        <v>41</v>
      </c>
      <c r="N124" s="23">
        <v>1973</v>
      </c>
      <c r="O124" s="23">
        <v>2014</v>
      </c>
      <c r="P124" s="23" t="s">
        <v>387</v>
      </c>
      <c r="Q124" s="23" t="s">
        <v>535</v>
      </c>
      <c r="R124" s="23" t="s">
        <v>813</v>
      </c>
      <c r="X124" s="23" t="s">
        <v>436</v>
      </c>
    </row>
    <row r="125" spans="1:24" ht="15" customHeight="1">
      <c r="A125">
        <v>0.03</v>
      </c>
      <c r="B125" t="s">
        <v>860</v>
      </c>
      <c r="C125" s="60">
        <v>-15.769496</v>
      </c>
      <c r="D125" s="60">
        <v>-69.400797999999995</v>
      </c>
      <c r="E125" t="s">
        <v>47</v>
      </c>
      <c r="F125" t="s">
        <v>372</v>
      </c>
      <c r="G125" t="s">
        <v>62</v>
      </c>
      <c r="H125" t="s">
        <v>537</v>
      </c>
      <c r="I125" t="s">
        <v>30</v>
      </c>
      <c r="J125" t="s">
        <v>263</v>
      </c>
      <c r="K125" t="s">
        <v>73</v>
      </c>
      <c r="L125">
        <v>1</v>
      </c>
      <c r="M125">
        <v>21</v>
      </c>
      <c r="N125">
        <v>2000</v>
      </c>
      <c r="O125">
        <v>2020</v>
      </c>
      <c r="P125" t="s">
        <v>140</v>
      </c>
      <c r="Q125" s="14" t="s">
        <v>538</v>
      </c>
      <c r="R125" s="9" t="s">
        <v>539</v>
      </c>
      <c r="S125" t="s">
        <v>540</v>
      </c>
      <c r="T125" t="s">
        <v>541</v>
      </c>
      <c r="U125" s="2" t="s">
        <v>542</v>
      </c>
      <c r="X125" t="s">
        <v>294</v>
      </c>
    </row>
    <row r="126" spans="1:24" ht="15" customHeight="1">
      <c r="A126">
        <v>3.4000000000000002E-2</v>
      </c>
      <c r="B126" t="s">
        <v>860</v>
      </c>
      <c r="C126" s="60">
        <v>-15.769496</v>
      </c>
      <c r="D126" s="60">
        <v>-69.400797999999995</v>
      </c>
      <c r="E126" t="s">
        <v>47</v>
      </c>
      <c r="F126" t="s">
        <v>372</v>
      </c>
      <c r="G126" t="s">
        <v>62</v>
      </c>
      <c r="H126" t="s">
        <v>537</v>
      </c>
      <c r="I126" t="s">
        <v>30</v>
      </c>
      <c r="J126" t="s">
        <v>265</v>
      </c>
      <c r="K126" t="s">
        <v>265</v>
      </c>
      <c r="L126">
        <v>1</v>
      </c>
      <c r="M126">
        <v>21</v>
      </c>
      <c r="N126">
        <v>2000</v>
      </c>
      <c r="O126">
        <v>2020</v>
      </c>
      <c r="P126" t="s">
        <v>140</v>
      </c>
      <c r="Q126" s="4" t="s">
        <v>543</v>
      </c>
      <c r="R126" s="9" t="s">
        <v>539</v>
      </c>
      <c r="S126" t="s">
        <v>540</v>
      </c>
      <c r="T126" t="s">
        <v>541</v>
      </c>
      <c r="U126" s="2" t="s">
        <v>542</v>
      </c>
      <c r="X126" t="s">
        <v>294</v>
      </c>
    </row>
    <row r="127" spans="1:24" ht="15" customHeight="1">
      <c r="A127">
        <v>0.04</v>
      </c>
      <c r="B127" t="s">
        <v>860</v>
      </c>
      <c r="C127" s="60">
        <v>-16.352795</v>
      </c>
      <c r="D127">
        <v>-68.804789999999997</v>
      </c>
      <c r="E127" t="s">
        <v>47</v>
      </c>
      <c r="F127" t="s">
        <v>372</v>
      </c>
      <c r="G127" t="s">
        <v>62</v>
      </c>
      <c r="H127" t="s">
        <v>537</v>
      </c>
      <c r="I127" t="s">
        <v>30</v>
      </c>
      <c r="J127" t="s">
        <v>263</v>
      </c>
      <c r="K127" t="s">
        <v>73</v>
      </c>
      <c r="L127">
        <v>1</v>
      </c>
      <c r="M127">
        <v>21</v>
      </c>
      <c r="N127">
        <v>2000</v>
      </c>
      <c r="O127">
        <v>2020</v>
      </c>
      <c r="P127" t="s">
        <v>140</v>
      </c>
      <c r="Q127" s="14" t="s">
        <v>538</v>
      </c>
      <c r="R127" s="9" t="s">
        <v>539</v>
      </c>
      <c r="S127" t="s">
        <v>540</v>
      </c>
      <c r="T127" t="s">
        <v>544</v>
      </c>
      <c r="U127" s="2" t="s">
        <v>542</v>
      </c>
      <c r="X127" t="s">
        <v>294</v>
      </c>
    </row>
    <row r="128" spans="1:24" ht="15" customHeight="1">
      <c r="A128">
        <v>0.03</v>
      </c>
      <c r="B128" t="s">
        <v>860</v>
      </c>
      <c r="C128" s="60">
        <v>-16.352795</v>
      </c>
      <c r="D128">
        <v>-68.804789999999997</v>
      </c>
      <c r="E128" t="s">
        <v>47</v>
      </c>
      <c r="F128" t="s">
        <v>372</v>
      </c>
      <c r="G128" t="s">
        <v>62</v>
      </c>
      <c r="H128" t="s">
        <v>537</v>
      </c>
      <c r="I128" t="s">
        <v>30</v>
      </c>
      <c r="J128" t="s">
        <v>265</v>
      </c>
      <c r="K128" t="s">
        <v>265</v>
      </c>
      <c r="L128">
        <v>1</v>
      </c>
      <c r="M128">
        <v>21</v>
      </c>
      <c r="N128">
        <v>2000</v>
      </c>
      <c r="O128">
        <v>2020</v>
      </c>
      <c r="P128" t="s">
        <v>140</v>
      </c>
      <c r="Q128" s="4" t="s">
        <v>543</v>
      </c>
      <c r="R128" s="9" t="s">
        <v>539</v>
      </c>
      <c r="S128" t="s">
        <v>540</v>
      </c>
      <c r="T128" t="s">
        <v>544</v>
      </c>
      <c r="U128" s="2" t="s">
        <v>542</v>
      </c>
      <c r="X128" t="s">
        <v>294</v>
      </c>
    </row>
    <row r="129" spans="1:24" ht="15" customHeight="1">
      <c r="A129">
        <f>((0.087+0.069)/2)</f>
        <v>7.8E-2</v>
      </c>
      <c r="B129" t="s">
        <v>545</v>
      </c>
      <c r="C129" s="5">
        <v>43.380200000000002</v>
      </c>
      <c r="D129" s="5">
        <v>-72.052700000000002</v>
      </c>
      <c r="E129" t="s">
        <v>47</v>
      </c>
      <c r="F129" t="s">
        <v>546</v>
      </c>
      <c r="G129" t="s">
        <v>62</v>
      </c>
      <c r="H129" t="s">
        <v>861</v>
      </c>
      <c r="I129" t="s">
        <v>30</v>
      </c>
      <c r="J129" t="s">
        <v>31</v>
      </c>
      <c r="K129" t="s">
        <v>31</v>
      </c>
      <c r="L129">
        <v>1</v>
      </c>
      <c r="M129">
        <v>35</v>
      </c>
      <c r="N129">
        <v>1985</v>
      </c>
      <c r="O129">
        <v>2020</v>
      </c>
      <c r="P129" t="s">
        <v>140</v>
      </c>
      <c r="Q129" s="4" t="s">
        <v>550</v>
      </c>
      <c r="R129" t="s">
        <v>551</v>
      </c>
      <c r="S129" t="s">
        <v>552</v>
      </c>
      <c r="T129" t="s">
        <v>553</v>
      </c>
      <c r="U129" s="2" t="s">
        <v>554</v>
      </c>
      <c r="X129" t="s">
        <v>294</v>
      </c>
    </row>
    <row r="130" spans="1:24" ht="15" customHeight="1">
      <c r="A130">
        <f>(((0.3+0.06+0.11)/2)/10)</f>
        <v>2.35E-2</v>
      </c>
      <c r="B130" t="s">
        <v>36</v>
      </c>
      <c r="C130">
        <v>54.017197511676201</v>
      </c>
      <c r="D130" s="9">
        <v>18.533078379552101</v>
      </c>
      <c r="E130" t="s">
        <v>37</v>
      </c>
      <c r="F130" t="s">
        <v>103</v>
      </c>
      <c r="G130" t="s">
        <v>103</v>
      </c>
      <c r="H130" t="s">
        <v>313</v>
      </c>
      <c r="I130" t="s">
        <v>137</v>
      </c>
      <c r="J130" t="s">
        <v>73</v>
      </c>
      <c r="K130" t="s">
        <v>73</v>
      </c>
      <c r="L130">
        <v>10</v>
      </c>
      <c r="M130">
        <f t="shared" ref="M130:M137" si="5">(O130-N130)</f>
        <v>49</v>
      </c>
      <c r="N130">
        <v>1972</v>
      </c>
      <c r="O130">
        <v>2021</v>
      </c>
      <c r="P130" t="s">
        <v>140</v>
      </c>
      <c r="Q130" s="14" t="s">
        <v>862</v>
      </c>
      <c r="R130" t="s">
        <v>557</v>
      </c>
      <c r="S130" t="s">
        <v>844</v>
      </c>
      <c r="T130" t="s">
        <v>559</v>
      </c>
      <c r="U130" s="2" t="s">
        <v>560</v>
      </c>
      <c r="X130" t="s">
        <v>294</v>
      </c>
    </row>
    <row r="131" spans="1:24" ht="15" customHeight="1">
      <c r="A131">
        <f>(((0.29+0.25+0.23)/2)/10)</f>
        <v>3.85E-2</v>
      </c>
      <c r="B131" t="s">
        <v>36</v>
      </c>
      <c r="C131">
        <v>54.017197511676201</v>
      </c>
      <c r="D131" s="9">
        <v>18.533078379552101</v>
      </c>
      <c r="E131" t="s">
        <v>37</v>
      </c>
      <c r="F131" t="s">
        <v>103</v>
      </c>
      <c r="G131" t="s">
        <v>103</v>
      </c>
      <c r="H131" t="s">
        <v>313</v>
      </c>
      <c r="I131" t="s">
        <v>134</v>
      </c>
      <c r="J131" t="s">
        <v>73</v>
      </c>
      <c r="K131" t="s">
        <v>73</v>
      </c>
      <c r="L131">
        <v>10</v>
      </c>
      <c r="M131">
        <f t="shared" si="5"/>
        <v>49</v>
      </c>
      <c r="N131">
        <v>1972</v>
      </c>
      <c r="O131">
        <v>2021</v>
      </c>
      <c r="P131" t="s">
        <v>140</v>
      </c>
      <c r="Q131" s="14" t="s">
        <v>862</v>
      </c>
      <c r="R131" t="s">
        <v>557</v>
      </c>
      <c r="S131" t="s">
        <v>844</v>
      </c>
      <c r="T131" t="s">
        <v>559</v>
      </c>
      <c r="U131" s="2" t="s">
        <v>560</v>
      </c>
      <c r="X131" t="s">
        <v>294</v>
      </c>
    </row>
    <row r="132" spans="1:24" ht="15" customHeight="1">
      <c r="A132">
        <f>(((0.22+0.45+0.77)/2)/10)</f>
        <v>7.1999999999999995E-2</v>
      </c>
      <c r="B132" t="s">
        <v>36</v>
      </c>
      <c r="C132">
        <v>54.017197511676201</v>
      </c>
      <c r="D132" s="9">
        <v>18.533078379552101</v>
      </c>
      <c r="E132" t="s">
        <v>37</v>
      </c>
      <c r="F132" t="s">
        <v>103</v>
      </c>
      <c r="G132" t="s">
        <v>103</v>
      </c>
      <c r="H132" t="s">
        <v>313</v>
      </c>
      <c r="I132" t="s">
        <v>137</v>
      </c>
      <c r="J132" t="s">
        <v>81</v>
      </c>
      <c r="K132" t="s">
        <v>81</v>
      </c>
      <c r="L132">
        <v>10</v>
      </c>
      <c r="M132">
        <f t="shared" si="5"/>
        <v>49</v>
      </c>
      <c r="N132">
        <v>1972</v>
      </c>
      <c r="O132">
        <v>2021</v>
      </c>
      <c r="P132" t="s">
        <v>140</v>
      </c>
      <c r="Q132" s="14" t="s">
        <v>862</v>
      </c>
      <c r="R132" t="s">
        <v>557</v>
      </c>
      <c r="S132" t="s">
        <v>844</v>
      </c>
      <c r="T132" t="s">
        <v>559</v>
      </c>
      <c r="U132" s="2" t="s">
        <v>560</v>
      </c>
      <c r="X132" t="s">
        <v>294</v>
      </c>
    </row>
    <row r="133" spans="1:24" ht="15" customHeight="1">
      <c r="A133">
        <f>(((0.36+0.82+0.37)/2)/10)</f>
        <v>7.7499999999999986E-2</v>
      </c>
      <c r="B133" t="s">
        <v>36</v>
      </c>
      <c r="C133">
        <v>54.017197511676201</v>
      </c>
      <c r="D133" s="9">
        <v>18.533078379552101</v>
      </c>
      <c r="E133" t="s">
        <v>37</v>
      </c>
      <c r="F133" t="s">
        <v>103</v>
      </c>
      <c r="G133" t="s">
        <v>103</v>
      </c>
      <c r="H133" t="s">
        <v>313</v>
      </c>
      <c r="I133" t="s">
        <v>134</v>
      </c>
      <c r="J133" t="s">
        <v>81</v>
      </c>
      <c r="K133" t="s">
        <v>81</v>
      </c>
      <c r="L133">
        <v>10</v>
      </c>
      <c r="M133">
        <f t="shared" si="5"/>
        <v>49</v>
      </c>
      <c r="N133">
        <v>1972</v>
      </c>
      <c r="O133">
        <v>2021</v>
      </c>
      <c r="P133" t="s">
        <v>140</v>
      </c>
      <c r="Q133" s="14" t="s">
        <v>862</v>
      </c>
      <c r="R133" t="s">
        <v>557</v>
      </c>
      <c r="S133" t="s">
        <v>844</v>
      </c>
      <c r="T133" t="s">
        <v>559</v>
      </c>
      <c r="U133" s="2" t="s">
        <v>560</v>
      </c>
      <c r="X133" t="s">
        <v>294</v>
      </c>
    </row>
    <row r="134" spans="1:24" ht="15" customHeight="1">
      <c r="A134">
        <f>(((0.63+0.58+0.59)/2)/10)</f>
        <v>0.09</v>
      </c>
      <c r="B134" t="s">
        <v>36</v>
      </c>
      <c r="C134">
        <v>54.017197511676201</v>
      </c>
      <c r="D134" s="9">
        <v>18.533078379552101</v>
      </c>
      <c r="E134" t="s">
        <v>37</v>
      </c>
      <c r="F134" t="s">
        <v>103</v>
      </c>
      <c r="G134" t="s">
        <v>103</v>
      </c>
      <c r="H134" t="s">
        <v>313</v>
      </c>
      <c r="I134" t="s">
        <v>137</v>
      </c>
      <c r="J134" t="s">
        <v>31</v>
      </c>
      <c r="K134" t="s">
        <v>31</v>
      </c>
      <c r="L134">
        <v>10</v>
      </c>
      <c r="M134">
        <f t="shared" si="5"/>
        <v>49</v>
      </c>
      <c r="N134">
        <v>1972</v>
      </c>
      <c r="O134">
        <v>2021</v>
      </c>
      <c r="P134" t="s">
        <v>140</v>
      </c>
      <c r="Q134" s="14" t="s">
        <v>862</v>
      </c>
      <c r="R134" t="s">
        <v>557</v>
      </c>
      <c r="S134" t="s">
        <v>844</v>
      </c>
      <c r="T134" t="s">
        <v>559</v>
      </c>
      <c r="U134" s="2" t="s">
        <v>560</v>
      </c>
      <c r="X134" t="s">
        <v>294</v>
      </c>
    </row>
    <row r="135" spans="1:24" ht="15" customHeight="1">
      <c r="A135">
        <f>(((0.44+0.62+0.57)/2)/10)</f>
        <v>8.1499999999999989E-2</v>
      </c>
      <c r="B135" t="s">
        <v>36</v>
      </c>
      <c r="C135">
        <v>54.017197511676201</v>
      </c>
      <c r="D135" s="9">
        <v>18.533078379552101</v>
      </c>
      <c r="E135" t="s">
        <v>37</v>
      </c>
      <c r="F135" t="s">
        <v>103</v>
      </c>
      <c r="G135" t="s">
        <v>103</v>
      </c>
      <c r="H135" t="s">
        <v>313</v>
      </c>
      <c r="I135" t="s">
        <v>134</v>
      </c>
      <c r="J135" t="s">
        <v>31</v>
      </c>
      <c r="K135" t="s">
        <v>31</v>
      </c>
      <c r="L135">
        <v>10</v>
      </c>
      <c r="M135">
        <f t="shared" si="5"/>
        <v>49</v>
      </c>
      <c r="N135">
        <v>1972</v>
      </c>
      <c r="O135">
        <v>2021</v>
      </c>
      <c r="P135" t="s">
        <v>140</v>
      </c>
      <c r="Q135" s="14" t="s">
        <v>862</v>
      </c>
      <c r="R135" t="s">
        <v>557</v>
      </c>
      <c r="S135" t="s">
        <v>844</v>
      </c>
      <c r="T135" t="s">
        <v>559</v>
      </c>
      <c r="U135" s="2" t="s">
        <v>560</v>
      </c>
      <c r="X135" t="s">
        <v>294</v>
      </c>
    </row>
    <row r="136" spans="1:24" ht="15" customHeight="1">
      <c r="A136">
        <f>(((0.41+0.43+0.47)/2)/10)</f>
        <v>6.5500000000000003E-2</v>
      </c>
      <c r="B136" t="s">
        <v>36</v>
      </c>
      <c r="C136">
        <v>54.017197511676201</v>
      </c>
      <c r="D136" s="9">
        <v>18.533078379552101</v>
      </c>
      <c r="E136" t="s">
        <v>37</v>
      </c>
      <c r="F136" t="s">
        <v>103</v>
      </c>
      <c r="G136" t="s">
        <v>103</v>
      </c>
      <c r="H136" t="s">
        <v>313</v>
      </c>
      <c r="I136" t="s">
        <v>137</v>
      </c>
      <c r="J136" t="s">
        <v>80</v>
      </c>
      <c r="K136" t="s">
        <v>80</v>
      </c>
      <c r="L136">
        <v>10</v>
      </c>
      <c r="M136">
        <f t="shared" si="5"/>
        <v>49</v>
      </c>
      <c r="N136">
        <v>1972</v>
      </c>
      <c r="O136">
        <v>2021</v>
      </c>
      <c r="P136" t="s">
        <v>140</v>
      </c>
      <c r="Q136" s="14" t="s">
        <v>862</v>
      </c>
      <c r="R136" t="s">
        <v>557</v>
      </c>
      <c r="S136" t="s">
        <v>844</v>
      </c>
      <c r="T136" t="s">
        <v>559</v>
      </c>
      <c r="U136" s="2" t="s">
        <v>560</v>
      </c>
      <c r="X136" t="s">
        <v>294</v>
      </c>
    </row>
    <row r="137" spans="1:24" ht="15" customHeight="1">
      <c r="A137">
        <f>(((0.43+0.34+0.41)/2)/10)</f>
        <v>5.8999999999999997E-2</v>
      </c>
      <c r="B137" t="s">
        <v>36</v>
      </c>
      <c r="C137">
        <v>54.017197511676201</v>
      </c>
      <c r="D137" s="9">
        <v>18.533078379552101</v>
      </c>
      <c r="E137" t="s">
        <v>37</v>
      </c>
      <c r="F137" t="s">
        <v>103</v>
      </c>
      <c r="G137" t="s">
        <v>103</v>
      </c>
      <c r="H137" t="s">
        <v>313</v>
      </c>
      <c r="I137" t="s">
        <v>134</v>
      </c>
      <c r="J137" t="s">
        <v>80</v>
      </c>
      <c r="K137" t="s">
        <v>80</v>
      </c>
      <c r="L137">
        <v>10</v>
      </c>
      <c r="M137">
        <f t="shared" si="5"/>
        <v>49</v>
      </c>
      <c r="N137">
        <v>1972</v>
      </c>
      <c r="O137">
        <v>2021</v>
      </c>
      <c r="P137" t="s">
        <v>140</v>
      </c>
      <c r="Q137" s="14" t="s">
        <v>862</v>
      </c>
      <c r="R137" t="s">
        <v>557</v>
      </c>
      <c r="S137" t="s">
        <v>844</v>
      </c>
      <c r="T137" t="s">
        <v>559</v>
      </c>
      <c r="U137" s="2" t="s">
        <v>560</v>
      </c>
      <c r="X137" t="s">
        <v>294</v>
      </c>
    </row>
    <row r="138" spans="1:24" ht="15" customHeight="1">
      <c r="A138" s="8">
        <v>3.6999999999999998E-2</v>
      </c>
      <c r="B138" s="8" t="s">
        <v>863</v>
      </c>
      <c r="C138" s="8">
        <v>54</v>
      </c>
      <c r="D138" s="8">
        <v>19</v>
      </c>
      <c r="E138" s="8" t="s">
        <v>804</v>
      </c>
      <c r="F138" s="8" t="s">
        <v>561</v>
      </c>
      <c r="G138" s="8" t="s">
        <v>103</v>
      </c>
      <c r="H138" s="8" t="s">
        <v>84</v>
      </c>
      <c r="I138" s="8" t="s">
        <v>864</v>
      </c>
      <c r="J138" s="8" t="s">
        <v>40</v>
      </c>
      <c r="K138" s="8" t="s">
        <v>40</v>
      </c>
      <c r="L138" s="8">
        <v>10</v>
      </c>
      <c r="M138" s="8">
        <v>44</v>
      </c>
      <c r="N138" s="8">
        <v>1971</v>
      </c>
      <c r="O138" s="8">
        <v>2015</v>
      </c>
      <c r="P138" s="8" t="s">
        <v>140</v>
      </c>
      <c r="Q138" s="8" t="s">
        <v>562</v>
      </c>
      <c r="R138" s="8" t="s">
        <v>563</v>
      </c>
      <c r="S138" s="8" t="s">
        <v>327</v>
      </c>
      <c r="T138" s="8"/>
      <c r="X138" t="s">
        <v>219</v>
      </c>
    </row>
    <row r="139" spans="1:24" ht="15" customHeight="1">
      <c r="A139" s="8">
        <v>5.8000000000000003E-2</v>
      </c>
      <c r="B139" s="8" t="s">
        <v>60</v>
      </c>
      <c r="C139" s="8">
        <v>56</v>
      </c>
      <c r="D139" s="9">
        <v>15</v>
      </c>
      <c r="E139" s="8" t="s">
        <v>37</v>
      </c>
      <c r="F139" s="8" t="s">
        <v>271</v>
      </c>
      <c r="G139" s="8" t="s">
        <v>103</v>
      </c>
      <c r="H139" s="8" t="s">
        <v>272</v>
      </c>
      <c r="I139" s="8" t="s">
        <v>134</v>
      </c>
      <c r="J139" s="8" t="s">
        <v>40</v>
      </c>
      <c r="K139" s="8" t="s">
        <v>40</v>
      </c>
      <c r="L139" s="8">
        <v>10</v>
      </c>
      <c r="M139" s="8">
        <v>49</v>
      </c>
      <c r="N139" s="8">
        <v>1966</v>
      </c>
      <c r="O139" s="8">
        <v>2015</v>
      </c>
      <c r="P139" s="8" t="s">
        <v>140</v>
      </c>
      <c r="Q139" s="58" t="s">
        <v>273</v>
      </c>
      <c r="R139" s="8" t="s">
        <v>274</v>
      </c>
      <c r="S139" s="8" t="s">
        <v>275</v>
      </c>
      <c r="T139" s="8"/>
      <c r="X139" t="s">
        <v>219</v>
      </c>
    </row>
    <row r="140" spans="1:24" ht="15" customHeight="1">
      <c r="A140" s="8">
        <v>0.04</v>
      </c>
      <c r="B140" s="8" t="s">
        <v>82</v>
      </c>
      <c r="C140" s="8">
        <v>35</v>
      </c>
      <c r="D140" s="8">
        <v>105</v>
      </c>
      <c r="E140" s="8" t="s">
        <v>804</v>
      </c>
      <c r="F140" s="8" t="s">
        <v>213</v>
      </c>
      <c r="G140" s="8" t="s">
        <v>49</v>
      </c>
      <c r="H140" s="8" t="s">
        <v>600</v>
      </c>
      <c r="I140" s="8" t="s">
        <v>865</v>
      </c>
      <c r="J140" s="8" t="s">
        <v>40</v>
      </c>
      <c r="K140" s="8" t="s">
        <v>40</v>
      </c>
      <c r="L140" s="8">
        <v>91</v>
      </c>
      <c r="M140" s="8">
        <v>39</v>
      </c>
      <c r="N140" s="8">
        <v>1979</v>
      </c>
      <c r="O140" s="8">
        <v>2018</v>
      </c>
      <c r="P140" s="8" t="s">
        <v>140</v>
      </c>
      <c r="Q140" s="14" t="s">
        <v>214</v>
      </c>
      <c r="R140" s="8" t="s">
        <v>808</v>
      </c>
      <c r="S140" s="8" t="s">
        <v>345</v>
      </c>
      <c r="T140" s="8" t="s">
        <v>866</v>
      </c>
      <c r="X140" t="s">
        <v>219</v>
      </c>
    </row>
    <row r="141" spans="1:24" ht="15" customHeight="1">
      <c r="A141" s="8">
        <v>7.0000000000000007E-2</v>
      </c>
      <c r="B141" s="167" t="s">
        <v>506</v>
      </c>
      <c r="C141" s="124">
        <v>30</v>
      </c>
      <c r="D141" s="124">
        <v>119</v>
      </c>
      <c r="E141" s="8" t="s">
        <v>47</v>
      </c>
      <c r="F141" s="8" t="s">
        <v>564</v>
      </c>
      <c r="G141" t="s">
        <v>62</v>
      </c>
      <c r="H141" s="124" t="s">
        <v>508</v>
      </c>
      <c r="I141" s="8" t="s">
        <v>30</v>
      </c>
      <c r="J141" s="8" t="s">
        <v>40</v>
      </c>
      <c r="K141" s="8" t="s">
        <v>40</v>
      </c>
      <c r="L141" s="8">
        <v>1</v>
      </c>
      <c r="M141" s="8">
        <v>35</v>
      </c>
      <c r="N141" s="124">
        <v>1986</v>
      </c>
      <c r="O141" s="124">
        <v>2021</v>
      </c>
      <c r="P141" s="8" t="s">
        <v>140</v>
      </c>
      <c r="Q141" s="8" t="s">
        <v>509</v>
      </c>
      <c r="R141" s="8" t="s">
        <v>666</v>
      </c>
      <c r="S141" s="124" t="s">
        <v>376</v>
      </c>
      <c r="T141" s="8"/>
      <c r="X141" t="s">
        <v>219</v>
      </c>
    </row>
    <row r="142" spans="1:24" ht="15" customHeight="1">
      <c r="A142" s="8">
        <v>0.04</v>
      </c>
      <c r="B142" s="8" t="s">
        <v>60</v>
      </c>
      <c r="C142" s="8">
        <v>56</v>
      </c>
      <c r="D142" s="9">
        <v>15</v>
      </c>
      <c r="E142" s="8" t="s">
        <v>37</v>
      </c>
      <c r="F142" s="8" t="s">
        <v>565</v>
      </c>
      <c r="G142" t="s">
        <v>62</v>
      </c>
      <c r="H142" s="8" t="s">
        <v>63</v>
      </c>
      <c r="I142" s="8" t="s">
        <v>30</v>
      </c>
      <c r="J142" s="8" t="s">
        <v>40</v>
      </c>
      <c r="K142" s="8" t="s">
        <v>40</v>
      </c>
      <c r="L142" s="166">
        <v>26</v>
      </c>
      <c r="M142" s="8">
        <v>35</v>
      </c>
      <c r="N142" s="166">
        <v>1981</v>
      </c>
      <c r="O142" s="166">
        <v>2016</v>
      </c>
      <c r="P142" s="8" t="s">
        <v>140</v>
      </c>
      <c r="Q142" s="14" t="s">
        <v>64</v>
      </c>
      <c r="R142" s="8" t="s">
        <v>65</v>
      </c>
      <c r="S142" s="8" t="s">
        <v>66</v>
      </c>
      <c r="T142" s="8" t="s">
        <v>566</v>
      </c>
      <c r="X142" t="s">
        <v>219</v>
      </c>
    </row>
    <row r="143" spans="1:24" ht="15" customHeight="1">
      <c r="A143" s="124">
        <v>0.12</v>
      </c>
      <c r="B143" s="124" t="s">
        <v>257</v>
      </c>
      <c r="C143" s="124">
        <v>25</v>
      </c>
      <c r="D143" s="124">
        <v>103</v>
      </c>
      <c r="E143" s="8" t="s">
        <v>47</v>
      </c>
      <c r="F143" s="124" t="s">
        <v>513</v>
      </c>
      <c r="G143" t="s">
        <v>62</v>
      </c>
      <c r="H143" s="168" t="s">
        <v>689</v>
      </c>
      <c r="I143" s="124" t="s">
        <v>30</v>
      </c>
      <c r="J143" s="8" t="s">
        <v>40</v>
      </c>
      <c r="K143" s="8" t="s">
        <v>40</v>
      </c>
      <c r="L143" s="8">
        <v>1</v>
      </c>
      <c r="M143" s="8">
        <v>16</v>
      </c>
      <c r="N143" s="124">
        <v>2001</v>
      </c>
      <c r="O143" s="124">
        <v>2017</v>
      </c>
      <c r="P143" s="8" t="s">
        <v>140</v>
      </c>
      <c r="Q143" s="8" t="s">
        <v>567</v>
      </c>
      <c r="R143" s="124" t="s">
        <v>522</v>
      </c>
      <c r="S143" s="124" t="s">
        <v>523</v>
      </c>
      <c r="T143" s="124"/>
      <c r="X143" t="s">
        <v>219</v>
      </c>
    </row>
    <row r="144" spans="1:24" ht="15" customHeight="1">
      <c r="A144" s="124">
        <v>0.09</v>
      </c>
      <c r="B144" s="124" t="s">
        <v>257</v>
      </c>
      <c r="C144" s="124">
        <v>25</v>
      </c>
      <c r="D144" s="124">
        <v>103</v>
      </c>
      <c r="E144" s="8" t="s">
        <v>47</v>
      </c>
      <c r="F144" s="124" t="s">
        <v>513</v>
      </c>
      <c r="G144" t="s">
        <v>62</v>
      </c>
      <c r="H144" s="168" t="s">
        <v>689</v>
      </c>
      <c r="I144" s="124" t="s">
        <v>30</v>
      </c>
      <c r="J144" s="8" t="s">
        <v>40</v>
      </c>
      <c r="K144" s="8" t="s">
        <v>40</v>
      </c>
      <c r="L144" s="8">
        <v>1</v>
      </c>
      <c r="M144" s="8">
        <v>16</v>
      </c>
      <c r="N144" s="124">
        <v>2001</v>
      </c>
      <c r="O144" s="124">
        <v>2017</v>
      </c>
      <c r="P144" s="8" t="s">
        <v>140</v>
      </c>
      <c r="Q144" s="8" t="s">
        <v>567</v>
      </c>
      <c r="R144" s="124" t="s">
        <v>522</v>
      </c>
      <c r="S144" s="124" t="s">
        <v>523</v>
      </c>
      <c r="T144" s="8"/>
      <c r="X144" t="s">
        <v>219</v>
      </c>
    </row>
    <row r="145" spans="1:24" ht="15" customHeight="1">
      <c r="A145" s="8">
        <v>3.7999999999999999E-2</v>
      </c>
      <c r="B145" s="124" t="s">
        <v>568</v>
      </c>
      <c r="C145" s="8">
        <v>47</v>
      </c>
      <c r="D145" s="8">
        <v>11</v>
      </c>
      <c r="E145" s="8" t="s">
        <v>47</v>
      </c>
      <c r="F145" s="124" t="s">
        <v>569</v>
      </c>
      <c r="G145" s="8" t="s">
        <v>103</v>
      </c>
      <c r="H145" s="124" t="s">
        <v>570</v>
      </c>
      <c r="I145" s="8" t="s">
        <v>30</v>
      </c>
      <c r="J145" s="169" t="s">
        <v>689</v>
      </c>
      <c r="K145" s="169" t="s">
        <v>689</v>
      </c>
      <c r="L145" s="8">
        <v>1</v>
      </c>
      <c r="M145" s="8">
        <v>43</v>
      </c>
      <c r="N145" s="124">
        <v>1972</v>
      </c>
      <c r="O145" s="124">
        <v>2015</v>
      </c>
      <c r="P145" s="8" t="s">
        <v>140</v>
      </c>
      <c r="Q145" s="8" t="s">
        <v>572</v>
      </c>
      <c r="R145" s="124" t="s">
        <v>867</v>
      </c>
      <c r="S145" s="8" t="s">
        <v>180</v>
      </c>
      <c r="T145" s="8"/>
      <c r="X145" t="s">
        <v>219</v>
      </c>
    </row>
    <row r="146" spans="1:24" ht="15" customHeight="1">
      <c r="A146" s="8">
        <v>2.1000000000000001E-2</v>
      </c>
      <c r="B146" s="124" t="s">
        <v>575</v>
      </c>
      <c r="C146" s="8">
        <v>25</v>
      </c>
      <c r="D146" s="8">
        <v>103</v>
      </c>
      <c r="E146" s="8" t="s">
        <v>47</v>
      </c>
      <c r="F146" s="124" t="s">
        <v>576</v>
      </c>
      <c r="G146" t="s">
        <v>62</v>
      </c>
      <c r="H146" s="168" t="s">
        <v>689</v>
      </c>
      <c r="I146" s="8" t="s">
        <v>865</v>
      </c>
      <c r="J146" s="8" t="s">
        <v>617</v>
      </c>
      <c r="K146" s="124" t="s">
        <v>40</v>
      </c>
      <c r="L146" s="8">
        <v>1</v>
      </c>
      <c r="M146" s="8">
        <v>23</v>
      </c>
      <c r="N146" s="124">
        <v>2000</v>
      </c>
      <c r="O146" s="124">
        <v>2023</v>
      </c>
      <c r="P146" s="8" t="s">
        <v>140</v>
      </c>
      <c r="Q146" s="8" t="s">
        <v>578</v>
      </c>
      <c r="R146" s="124" t="s">
        <v>579</v>
      </c>
      <c r="S146" s="8" t="s">
        <v>580</v>
      </c>
      <c r="T146" s="8"/>
      <c r="X146" t="s">
        <v>219</v>
      </c>
    </row>
    <row r="147" spans="1:24" ht="15" customHeight="1">
      <c r="A147" s="124">
        <v>3.1E-2</v>
      </c>
      <c r="B147" s="124" t="s">
        <v>82</v>
      </c>
      <c r="C147" s="124">
        <v>29</v>
      </c>
      <c r="D147" s="124">
        <v>113</v>
      </c>
      <c r="E147" s="8" t="s">
        <v>37</v>
      </c>
      <c r="F147" s="124" t="s">
        <v>372</v>
      </c>
      <c r="G147" t="s">
        <v>62</v>
      </c>
      <c r="H147" s="124" t="s">
        <v>458</v>
      </c>
      <c r="I147" s="124" t="s">
        <v>30</v>
      </c>
      <c r="J147" s="124" t="s">
        <v>40</v>
      </c>
      <c r="K147" s="124" t="s">
        <v>40</v>
      </c>
      <c r="L147" s="124">
        <v>6</v>
      </c>
      <c r="M147" s="8">
        <v>17</v>
      </c>
      <c r="N147" s="124">
        <v>2001</v>
      </c>
      <c r="O147" s="124">
        <v>2018</v>
      </c>
      <c r="P147" s="8" t="s">
        <v>140</v>
      </c>
      <c r="Q147" s="124" t="s">
        <v>459</v>
      </c>
      <c r="R147" s="124" t="s">
        <v>460</v>
      </c>
      <c r="S147" s="124" t="s">
        <v>461</v>
      </c>
      <c r="T147" s="124"/>
      <c r="X147" t="s">
        <v>219</v>
      </c>
    </row>
    <row r="148" spans="1:24" ht="15" customHeight="1">
      <c r="A148" s="8">
        <v>0.104</v>
      </c>
      <c r="B148" s="8" t="s">
        <v>194</v>
      </c>
      <c r="C148" s="8">
        <v>71</v>
      </c>
      <c r="D148" s="8">
        <v>-75</v>
      </c>
      <c r="E148" s="8" t="s">
        <v>47</v>
      </c>
      <c r="F148" s="8" t="s">
        <v>581</v>
      </c>
      <c r="G148" s="8" t="s">
        <v>103</v>
      </c>
      <c r="H148" s="8" t="s">
        <v>29</v>
      </c>
      <c r="I148" s="169" t="s">
        <v>689</v>
      </c>
      <c r="J148" s="8" t="s">
        <v>40</v>
      </c>
      <c r="K148" s="8" t="s">
        <v>31</v>
      </c>
      <c r="L148" s="8">
        <v>1</v>
      </c>
      <c r="M148" s="8">
        <v>26</v>
      </c>
      <c r="N148" s="8">
        <v>1988</v>
      </c>
      <c r="O148" s="8">
        <v>2014</v>
      </c>
      <c r="P148" s="8" t="s">
        <v>140</v>
      </c>
      <c r="Q148" s="166" t="s">
        <v>582</v>
      </c>
      <c r="R148" s="8" t="s">
        <v>198</v>
      </c>
      <c r="S148" s="8" t="s">
        <v>199</v>
      </c>
      <c r="T148" s="8"/>
      <c r="X148" t="s">
        <v>219</v>
      </c>
    </row>
    <row r="149" spans="1:24" ht="15" customHeight="1">
      <c r="A149" s="8">
        <v>7.6999999999999999E-2</v>
      </c>
      <c r="B149" s="8" t="s">
        <v>203</v>
      </c>
      <c r="C149" s="8">
        <v>41</v>
      </c>
      <c r="D149" s="8">
        <v>-75</v>
      </c>
      <c r="E149" s="8" t="s">
        <v>47</v>
      </c>
      <c r="F149" s="8" t="s">
        <v>581</v>
      </c>
      <c r="G149" s="8" t="s">
        <v>103</v>
      </c>
      <c r="H149" s="8" t="s">
        <v>29</v>
      </c>
      <c r="I149" s="169" t="s">
        <v>689</v>
      </c>
      <c r="J149" s="8" t="s">
        <v>40</v>
      </c>
      <c r="K149" s="8" t="s">
        <v>31</v>
      </c>
      <c r="L149" s="8">
        <v>1</v>
      </c>
      <c r="M149" s="8">
        <v>26</v>
      </c>
      <c r="N149" s="8">
        <v>1988</v>
      </c>
      <c r="O149" s="8">
        <v>2014</v>
      </c>
      <c r="P149" s="8" t="s">
        <v>140</v>
      </c>
      <c r="Q149" s="166" t="s">
        <v>582</v>
      </c>
      <c r="R149" s="8" t="s">
        <v>198</v>
      </c>
      <c r="S149" s="8" t="s">
        <v>199</v>
      </c>
      <c r="T149" s="8"/>
      <c r="X149" t="s">
        <v>219</v>
      </c>
    </row>
    <row r="150" spans="1:24" ht="15" customHeight="1">
      <c r="A150" s="8">
        <v>3.2000000000000001E-2</v>
      </c>
      <c r="B150" s="8" t="s">
        <v>70</v>
      </c>
      <c r="C150" s="8">
        <v>32</v>
      </c>
      <c r="D150" s="9">
        <v>88</v>
      </c>
      <c r="E150" s="8" t="s">
        <v>37</v>
      </c>
      <c r="F150" s="8" t="s">
        <v>851</v>
      </c>
      <c r="G150" t="s">
        <v>62</v>
      </c>
      <c r="H150" s="8" t="s">
        <v>371</v>
      </c>
      <c r="I150" s="8" t="s">
        <v>30</v>
      </c>
      <c r="J150" s="8" t="s">
        <v>868</v>
      </c>
      <c r="K150" s="8" t="s">
        <v>31</v>
      </c>
      <c r="L150" s="8">
        <v>81</v>
      </c>
      <c r="M150" s="8">
        <v>38</v>
      </c>
      <c r="N150" s="8">
        <v>1980</v>
      </c>
      <c r="O150" s="8">
        <v>2018</v>
      </c>
      <c r="P150" s="8" t="s">
        <v>140</v>
      </c>
      <c r="Q150" s="8" t="s">
        <v>206</v>
      </c>
      <c r="R150" s="8" t="s">
        <v>207</v>
      </c>
      <c r="S150" s="8" t="s">
        <v>208</v>
      </c>
      <c r="T150" s="8"/>
      <c r="X150" t="s">
        <v>219</v>
      </c>
    </row>
    <row r="151" spans="1:24" ht="15" customHeight="1">
      <c r="A151" s="8">
        <v>2.5000000000000001E-2</v>
      </c>
      <c r="B151" s="8" t="s">
        <v>82</v>
      </c>
      <c r="C151" s="8">
        <v>34</v>
      </c>
      <c r="D151" s="9">
        <v>104</v>
      </c>
      <c r="E151" s="8" t="s">
        <v>37</v>
      </c>
      <c r="F151" s="8" t="s">
        <v>584</v>
      </c>
      <c r="G151" t="s">
        <v>62</v>
      </c>
      <c r="H151" s="8" t="s">
        <v>84</v>
      </c>
      <c r="I151" s="8" t="s">
        <v>30</v>
      </c>
      <c r="J151" s="8" t="s">
        <v>40</v>
      </c>
      <c r="K151" s="8" t="s">
        <v>40</v>
      </c>
      <c r="L151" s="8">
        <v>1451</v>
      </c>
      <c r="M151" s="8">
        <v>20</v>
      </c>
      <c r="N151" s="8">
        <v>2001</v>
      </c>
      <c r="O151" s="8">
        <v>2021</v>
      </c>
      <c r="P151" s="8" t="s">
        <v>140</v>
      </c>
      <c r="Q151" s="166" t="s">
        <v>585</v>
      </c>
      <c r="R151" s="8" t="s">
        <v>86</v>
      </c>
      <c r="S151" s="8" t="s">
        <v>87</v>
      </c>
      <c r="T151" s="8"/>
      <c r="X151" t="s">
        <v>219</v>
      </c>
    </row>
    <row r="152" spans="1:24" ht="15" customHeight="1">
      <c r="A152" s="8">
        <v>2.4E-2</v>
      </c>
      <c r="B152" s="8" t="s">
        <v>26</v>
      </c>
      <c r="C152" s="8">
        <v>32</v>
      </c>
      <c r="D152" s="9">
        <v>-35</v>
      </c>
      <c r="E152" s="8" t="s">
        <v>26</v>
      </c>
      <c r="F152" s="8" t="s">
        <v>586</v>
      </c>
      <c r="G152" s="8" t="s">
        <v>49</v>
      </c>
      <c r="H152" s="8" t="s">
        <v>84</v>
      </c>
      <c r="I152" s="8" t="s">
        <v>30</v>
      </c>
      <c r="J152" s="8" t="s">
        <v>220</v>
      </c>
      <c r="K152" t="s">
        <v>40</v>
      </c>
      <c r="L152" s="8">
        <v>92245</v>
      </c>
      <c r="M152" s="8">
        <v>39</v>
      </c>
      <c r="N152" s="8">
        <v>1981</v>
      </c>
      <c r="O152" s="8">
        <v>2020</v>
      </c>
      <c r="P152" s="8" t="s">
        <v>140</v>
      </c>
      <c r="Q152" s="166" t="s">
        <v>587</v>
      </c>
      <c r="R152" s="8" t="s">
        <v>222</v>
      </c>
      <c r="S152" s="8" t="s">
        <v>223</v>
      </c>
      <c r="T152" s="8"/>
      <c r="X152" t="s">
        <v>219</v>
      </c>
    </row>
    <row r="153" spans="1:24" ht="15" customHeight="1">
      <c r="A153" s="8">
        <v>3.6999999999999998E-2</v>
      </c>
      <c r="B153" s="8" t="s">
        <v>70</v>
      </c>
      <c r="C153" s="8">
        <v>32</v>
      </c>
      <c r="D153" s="9">
        <v>88</v>
      </c>
      <c r="E153" s="8" t="s">
        <v>37</v>
      </c>
      <c r="F153" s="8" t="s">
        <v>185</v>
      </c>
      <c r="G153" t="s">
        <v>62</v>
      </c>
      <c r="H153" s="8" t="s">
        <v>330</v>
      </c>
      <c r="I153" s="8" t="s">
        <v>30</v>
      </c>
      <c r="J153" s="8" t="s">
        <v>40</v>
      </c>
      <c r="K153" s="8" t="s">
        <v>40</v>
      </c>
      <c r="L153" s="8">
        <v>374</v>
      </c>
      <c r="M153" s="8">
        <v>14</v>
      </c>
      <c r="N153" s="8">
        <v>2001</v>
      </c>
      <c r="O153" s="8">
        <v>2015</v>
      </c>
      <c r="P153" s="8" t="s">
        <v>140</v>
      </c>
      <c r="Q153" s="8" t="s">
        <v>74</v>
      </c>
      <c r="R153" s="8" t="s">
        <v>332</v>
      </c>
      <c r="S153" s="8" t="s">
        <v>76</v>
      </c>
      <c r="T153" s="8" t="s">
        <v>588</v>
      </c>
      <c r="X153" t="s">
        <v>219</v>
      </c>
    </row>
    <row r="154" spans="1:24" ht="15" customHeight="1">
      <c r="A154" s="8">
        <v>1.9E-2</v>
      </c>
      <c r="B154" s="8" t="s">
        <v>70</v>
      </c>
      <c r="C154" s="8">
        <v>32</v>
      </c>
      <c r="D154" s="9">
        <v>88</v>
      </c>
      <c r="E154" s="8" t="s">
        <v>37</v>
      </c>
      <c r="F154" s="8" t="s">
        <v>185</v>
      </c>
      <c r="G154" t="s">
        <v>62</v>
      </c>
      <c r="H154" s="8" t="s">
        <v>330</v>
      </c>
      <c r="I154" s="8" t="s">
        <v>30</v>
      </c>
      <c r="J154" s="8" t="s">
        <v>129</v>
      </c>
      <c r="K154" s="8" t="s">
        <v>81</v>
      </c>
      <c r="L154" s="8">
        <v>374</v>
      </c>
      <c r="M154" s="8">
        <v>14</v>
      </c>
      <c r="N154" s="8">
        <v>2001</v>
      </c>
      <c r="O154" s="8">
        <v>2015</v>
      </c>
      <c r="P154" s="8" t="s">
        <v>140</v>
      </c>
      <c r="Q154" s="8" t="s">
        <v>74</v>
      </c>
      <c r="R154" s="8" t="s">
        <v>332</v>
      </c>
      <c r="S154" s="8" t="s">
        <v>76</v>
      </c>
      <c r="T154" s="8"/>
      <c r="X154" t="s">
        <v>219</v>
      </c>
    </row>
    <row r="155" spans="1:24" ht="15" customHeight="1">
      <c r="A155" s="8">
        <v>2.3E-2</v>
      </c>
      <c r="B155" s="8" t="s">
        <v>70</v>
      </c>
      <c r="C155" s="8">
        <v>32</v>
      </c>
      <c r="D155" s="9">
        <v>88</v>
      </c>
      <c r="E155" s="8" t="s">
        <v>37</v>
      </c>
      <c r="F155" s="8" t="s">
        <v>185</v>
      </c>
      <c r="G155" t="s">
        <v>62</v>
      </c>
      <c r="H155" s="8" t="s">
        <v>330</v>
      </c>
      <c r="I155" s="8" t="s">
        <v>30</v>
      </c>
      <c r="J155" s="8" t="s">
        <v>129</v>
      </c>
      <c r="K155" s="8" t="s">
        <v>31</v>
      </c>
      <c r="L155" s="8">
        <v>374</v>
      </c>
      <c r="M155" s="8">
        <v>14</v>
      </c>
      <c r="N155" s="8">
        <v>2001</v>
      </c>
      <c r="O155" s="8">
        <v>2015</v>
      </c>
      <c r="P155" s="8" t="s">
        <v>140</v>
      </c>
      <c r="Q155" s="8" t="s">
        <v>74</v>
      </c>
      <c r="R155" s="8" t="s">
        <v>332</v>
      </c>
      <c r="S155" s="8" t="s">
        <v>76</v>
      </c>
      <c r="T155" s="8"/>
      <c r="X155" t="s">
        <v>219</v>
      </c>
    </row>
    <row r="156" spans="1:24" ht="15" customHeight="1">
      <c r="A156" s="8">
        <v>7.1999999999999995E-2</v>
      </c>
      <c r="B156" s="8" t="s">
        <v>70</v>
      </c>
      <c r="C156" s="8">
        <v>32</v>
      </c>
      <c r="D156" s="9">
        <v>88</v>
      </c>
      <c r="E156" s="8" t="s">
        <v>37</v>
      </c>
      <c r="F156" s="8" t="s">
        <v>185</v>
      </c>
      <c r="G156" t="s">
        <v>62</v>
      </c>
      <c r="H156" s="8" t="s">
        <v>330</v>
      </c>
      <c r="I156" s="8" t="s">
        <v>30</v>
      </c>
      <c r="J156" s="8" t="s">
        <v>129</v>
      </c>
      <c r="K156" s="8" t="s">
        <v>80</v>
      </c>
      <c r="L156" s="8">
        <v>374</v>
      </c>
      <c r="M156" s="8">
        <v>14</v>
      </c>
      <c r="N156" s="8">
        <v>2001</v>
      </c>
      <c r="O156" s="8">
        <v>2015</v>
      </c>
      <c r="P156" s="8" t="s">
        <v>140</v>
      </c>
      <c r="Q156" s="8" t="s">
        <v>74</v>
      </c>
      <c r="R156" s="8" t="s">
        <v>332</v>
      </c>
      <c r="S156" s="8" t="s">
        <v>76</v>
      </c>
      <c r="T156" s="8"/>
      <c r="X156" t="s">
        <v>219</v>
      </c>
    </row>
    <row r="157" spans="1:24" ht="15" customHeight="1">
      <c r="A157" s="8">
        <v>3.6999999999999998E-2</v>
      </c>
      <c r="B157" s="8" t="s">
        <v>70</v>
      </c>
      <c r="C157" s="8">
        <v>32</v>
      </c>
      <c r="D157" s="9">
        <v>88</v>
      </c>
      <c r="E157" s="8" t="s">
        <v>37</v>
      </c>
      <c r="F157" s="8" t="s">
        <v>185</v>
      </c>
      <c r="G157" t="s">
        <v>62</v>
      </c>
      <c r="H157" s="8" t="s">
        <v>330</v>
      </c>
      <c r="I157" s="8" t="s">
        <v>30</v>
      </c>
      <c r="J157" s="8" t="s">
        <v>129</v>
      </c>
      <c r="K157" s="8" t="s">
        <v>73</v>
      </c>
      <c r="L157" s="8">
        <v>374</v>
      </c>
      <c r="M157" s="8">
        <v>14</v>
      </c>
      <c r="N157" s="8">
        <v>2001</v>
      </c>
      <c r="O157" s="8">
        <v>2015</v>
      </c>
      <c r="P157" s="8" t="s">
        <v>140</v>
      </c>
      <c r="Q157" s="8" t="s">
        <v>74</v>
      </c>
      <c r="R157" s="8" t="s">
        <v>332</v>
      </c>
      <c r="S157" s="8" t="s">
        <v>76</v>
      </c>
      <c r="T157" s="8"/>
      <c r="X157" t="s">
        <v>219</v>
      </c>
    </row>
    <row r="158" spans="1:24" ht="15" customHeight="1">
      <c r="A158" s="8">
        <v>3.5000000000000003E-2</v>
      </c>
      <c r="B158" s="124" t="s">
        <v>60</v>
      </c>
      <c r="C158" s="8">
        <v>56</v>
      </c>
      <c r="D158" s="9">
        <v>15</v>
      </c>
      <c r="E158" s="8" t="s">
        <v>37</v>
      </c>
      <c r="F158" s="8" t="s">
        <v>110</v>
      </c>
      <c r="G158" s="8" t="s">
        <v>103</v>
      </c>
      <c r="H158" s="8" t="s">
        <v>589</v>
      </c>
      <c r="I158" s="8" t="s">
        <v>859</v>
      </c>
      <c r="J158" s="124" t="s">
        <v>40</v>
      </c>
      <c r="K158" s="124" t="s">
        <v>40</v>
      </c>
      <c r="L158" s="8">
        <v>8</v>
      </c>
      <c r="M158" s="8">
        <v>41</v>
      </c>
      <c r="N158" s="8">
        <v>1973</v>
      </c>
      <c r="O158" s="124">
        <v>2014</v>
      </c>
      <c r="P158" s="8" t="s">
        <v>140</v>
      </c>
      <c r="Q158" s="124" t="s">
        <v>590</v>
      </c>
      <c r="R158" s="124" t="s">
        <v>813</v>
      </c>
      <c r="S158" s="124" t="s">
        <v>180</v>
      </c>
      <c r="T158" s="8"/>
      <c r="X158" t="s">
        <v>219</v>
      </c>
    </row>
    <row r="159" spans="1:24" ht="15" customHeight="1">
      <c r="A159" s="8">
        <v>3.2000000000000001E-2</v>
      </c>
      <c r="B159" s="124" t="s">
        <v>60</v>
      </c>
      <c r="C159" s="8">
        <v>56</v>
      </c>
      <c r="D159" s="9">
        <v>15</v>
      </c>
      <c r="E159" s="8" t="s">
        <v>37</v>
      </c>
      <c r="F159" s="8" t="s">
        <v>110</v>
      </c>
      <c r="G159" s="8" t="s">
        <v>103</v>
      </c>
      <c r="H159" s="8" t="s">
        <v>589</v>
      </c>
      <c r="I159" s="8" t="s">
        <v>859</v>
      </c>
      <c r="J159" s="124" t="s">
        <v>869</v>
      </c>
      <c r="K159" t="s">
        <v>31</v>
      </c>
      <c r="L159" s="8">
        <v>8</v>
      </c>
      <c r="M159" s="8">
        <v>41</v>
      </c>
      <c r="N159" s="8">
        <v>1973</v>
      </c>
      <c r="O159" s="124">
        <v>2014</v>
      </c>
      <c r="P159" s="8" t="s">
        <v>140</v>
      </c>
      <c r="Q159" s="124" t="s">
        <v>590</v>
      </c>
      <c r="R159" s="124" t="s">
        <v>813</v>
      </c>
      <c r="S159" s="124" t="s">
        <v>180</v>
      </c>
      <c r="T159" s="8"/>
      <c r="X159" t="s">
        <v>219</v>
      </c>
    </row>
    <row r="160" spans="1:24" ht="15" customHeight="1">
      <c r="A160" s="8">
        <v>4.2000000000000003E-2</v>
      </c>
      <c r="B160" s="8" t="s">
        <v>388</v>
      </c>
      <c r="C160" s="8">
        <v>27</v>
      </c>
      <c r="D160" s="8">
        <v>105</v>
      </c>
      <c r="E160" s="8" t="s">
        <v>37</v>
      </c>
      <c r="F160" s="92" t="s">
        <v>445</v>
      </c>
      <c r="G160" t="s">
        <v>62</v>
      </c>
      <c r="H160" s="8" t="s">
        <v>446</v>
      </c>
      <c r="I160" s="8" t="s">
        <v>30</v>
      </c>
      <c r="J160" s="8" t="s">
        <v>447</v>
      </c>
      <c r="K160" t="s">
        <v>40</v>
      </c>
      <c r="L160" s="8">
        <v>8</v>
      </c>
      <c r="M160" s="8">
        <v>17</v>
      </c>
      <c r="N160" s="8">
        <v>2001</v>
      </c>
      <c r="O160" s="8">
        <v>2018</v>
      </c>
      <c r="P160" s="8" t="s">
        <v>140</v>
      </c>
      <c r="Q160" s="8" t="s">
        <v>448</v>
      </c>
      <c r="R160" s="8" t="s">
        <v>449</v>
      </c>
      <c r="S160" s="8" t="s">
        <v>450</v>
      </c>
      <c r="T160" s="8"/>
      <c r="X160" t="s">
        <v>219</v>
      </c>
    </row>
    <row r="161" spans="1:24" ht="15" customHeight="1">
      <c r="A161" s="8">
        <v>1.9E-2</v>
      </c>
      <c r="B161" s="8" t="s">
        <v>388</v>
      </c>
      <c r="C161" s="8">
        <v>27</v>
      </c>
      <c r="D161" s="8">
        <v>105</v>
      </c>
      <c r="E161" s="8" t="s">
        <v>37</v>
      </c>
      <c r="F161" s="92" t="s">
        <v>445</v>
      </c>
      <c r="G161" t="s">
        <v>62</v>
      </c>
      <c r="H161" s="8" t="s">
        <v>446</v>
      </c>
      <c r="I161" s="8" t="s">
        <v>30</v>
      </c>
      <c r="J161" s="8" t="s">
        <v>447</v>
      </c>
      <c r="K161" t="s">
        <v>40</v>
      </c>
      <c r="L161" s="8">
        <v>8</v>
      </c>
      <c r="M161" s="8">
        <v>17</v>
      </c>
      <c r="N161" s="8">
        <v>2001</v>
      </c>
      <c r="O161" s="8">
        <v>2018</v>
      </c>
      <c r="P161" s="8" t="s">
        <v>140</v>
      </c>
      <c r="Q161" s="8" t="s">
        <v>448</v>
      </c>
      <c r="R161" s="8" t="s">
        <v>449</v>
      </c>
      <c r="S161" s="8" t="s">
        <v>450</v>
      </c>
      <c r="T161" s="8"/>
      <c r="X161" t="s">
        <v>219</v>
      </c>
    </row>
    <row r="162" spans="1:24" ht="15" customHeight="1">
      <c r="A162" s="8">
        <v>3.1E-2</v>
      </c>
      <c r="B162" s="8" t="s">
        <v>388</v>
      </c>
      <c r="C162" s="8">
        <v>27</v>
      </c>
      <c r="D162" s="8">
        <v>105</v>
      </c>
      <c r="E162" s="8" t="s">
        <v>37</v>
      </c>
      <c r="F162" s="92" t="s">
        <v>445</v>
      </c>
      <c r="G162" t="s">
        <v>62</v>
      </c>
      <c r="H162" s="8" t="s">
        <v>446</v>
      </c>
      <c r="I162" s="8" t="s">
        <v>30</v>
      </c>
      <c r="J162" s="8" t="s">
        <v>40</v>
      </c>
      <c r="K162" s="8" t="s">
        <v>40</v>
      </c>
      <c r="L162" s="8">
        <v>8</v>
      </c>
      <c r="M162" s="8">
        <v>17</v>
      </c>
      <c r="N162" s="8">
        <v>2001</v>
      </c>
      <c r="O162" s="8">
        <v>2018</v>
      </c>
      <c r="P162" s="8" t="s">
        <v>140</v>
      </c>
      <c r="Q162" s="8" t="s">
        <v>448</v>
      </c>
      <c r="R162" s="8" t="s">
        <v>449</v>
      </c>
      <c r="S162" s="8" t="s">
        <v>450</v>
      </c>
      <c r="T162" s="8"/>
      <c r="X162" t="s">
        <v>219</v>
      </c>
    </row>
    <row r="163" spans="1:24" ht="15" customHeight="1">
      <c r="A163" s="8">
        <v>0.01</v>
      </c>
      <c r="B163" s="8" t="s">
        <v>388</v>
      </c>
      <c r="C163" s="8">
        <v>27</v>
      </c>
      <c r="D163" s="8">
        <v>105</v>
      </c>
      <c r="E163" s="8" t="s">
        <v>37</v>
      </c>
      <c r="F163" s="92" t="s">
        <v>445</v>
      </c>
      <c r="G163" t="s">
        <v>62</v>
      </c>
      <c r="H163" s="8" t="s">
        <v>446</v>
      </c>
      <c r="I163" s="8" t="s">
        <v>30</v>
      </c>
      <c r="J163" s="8" t="s">
        <v>40</v>
      </c>
      <c r="K163" s="8" t="s">
        <v>40</v>
      </c>
      <c r="L163" s="8">
        <v>8</v>
      </c>
      <c r="M163" s="8">
        <v>17</v>
      </c>
      <c r="N163" s="8">
        <v>2001</v>
      </c>
      <c r="O163" s="8">
        <v>2018</v>
      </c>
      <c r="P163" s="8" t="s">
        <v>140</v>
      </c>
      <c r="Q163" s="8" t="s">
        <v>448</v>
      </c>
      <c r="R163" s="8" t="s">
        <v>449</v>
      </c>
      <c r="S163" s="8" t="s">
        <v>450</v>
      </c>
      <c r="T163" s="8"/>
      <c r="X163" t="s">
        <v>219</v>
      </c>
    </row>
    <row r="164" spans="1:24" ht="15" customHeight="1">
      <c r="A164" s="8">
        <v>0.1</v>
      </c>
      <c r="B164" s="8" t="s">
        <v>388</v>
      </c>
      <c r="C164" s="8">
        <v>27</v>
      </c>
      <c r="D164" s="8">
        <v>105</v>
      </c>
      <c r="E164" s="8" t="s">
        <v>37</v>
      </c>
      <c r="F164" s="8" t="s">
        <v>372</v>
      </c>
      <c r="G164" t="s">
        <v>62</v>
      </c>
      <c r="H164" s="8" t="s">
        <v>870</v>
      </c>
      <c r="I164" s="8" t="s">
        <v>30</v>
      </c>
      <c r="J164" s="8" t="s">
        <v>148</v>
      </c>
      <c r="K164" s="8" t="s">
        <v>40</v>
      </c>
      <c r="L164" s="8">
        <v>11</v>
      </c>
      <c r="M164" s="8">
        <v>16</v>
      </c>
      <c r="N164" s="8">
        <v>2001</v>
      </c>
      <c r="O164" s="8">
        <v>2017</v>
      </c>
      <c r="P164" s="8" t="s">
        <v>140</v>
      </c>
      <c r="Q164" s="9" t="s">
        <v>591</v>
      </c>
      <c r="R164" s="8" t="s">
        <v>592</v>
      </c>
      <c r="S164" s="8" t="s">
        <v>229</v>
      </c>
      <c r="T164" s="8"/>
      <c r="X164" t="s">
        <v>219</v>
      </c>
    </row>
    <row r="165" spans="1:24" ht="15" customHeight="1">
      <c r="A165" s="8">
        <v>5.8000000000000003E-2</v>
      </c>
      <c r="B165" s="8" t="s">
        <v>388</v>
      </c>
      <c r="C165" s="8">
        <v>27</v>
      </c>
      <c r="D165" s="8">
        <v>105</v>
      </c>
      <c r="E165" s="8" t="s">
        <v>37</v>
      </c>
      <c r="F165" s="8" t="s">
        <v>372</v>
      </c>
      <c r="G165" t="s">
        <v>62</v>
      </c>
      <c r="H165" s="8" t="s">
        <v>870</v>
      </c>
      <c r="I165" s="8" t="s">
        <v>30</v>
      </c>
      <c r="J165" s="8" t="s">
        <v>155</v>
      </c>
      <c r="K165" s="8" t="s">
        <v>155</v>
      </c>
      <c r="L165" s="8">
        <v>11</v>
      </c>
      <c r="M165" s="8">
        <v>16</v>
      </c>
      <c r="N165" s="8">
        <v>2001</v>
      </c>
      <c r="O165" s="8">
        <v>2017</v>
      </c>
      <c r="P165" s="8" t="s">
        <v>140</v>
      </c>
      <c r="Q165" s="9" t="s">
        <v>591</v>
      </c>
      <c r="R165" s="8" t="s">
        <v>592</v>
      </c>
      <c r="S165" s="8" t="s">
        <v>229</v>
      </c>
      <c r="T165" s="8"/>
      <c r="X165" t="s">
        <v>219</v>
      </c>
    </row>
    <row r="166" spans="1:24" ht="15" customHeight="1">
      <c r="A166" s="8">
        <v>0.02</v>
      </c>
      <c r="B166" s="124" t="s">
        <v>257</v>
      </c>
      <c r="C166" s="124">
        <v>25</v>
      </c>
      <c r="D166" s="124">
        <v>103</v>
      </c>
      <c r="E166" s="8" t="s">
        <v>47</v>
      </c>
      <c r="F166" s="8" t="s">
        <v>372</v>
      </c>
      <c r="G166" t="s">
        <v>62</v>
      </c>
      <c r="H166" s="8" t="s">
        <v>870</v>
      </c>
      <c r="I166" s="8" t="s">
        <v>30</v>
      </c>
      <c r="J166" s="8" t="s">
        <v>40</v>
      </c>
      <c r="K166" s="8" t="s">
        <v>40</v>
      </c>
      <c r="L166" s="8">
        <v>1</v>
      </c>
      <c r="M166" s="8">
        <v>17</v>
      </c>
      <c r="N166" s="8">
        <v>2001</v>
      </c>
      <c r="O166" s="8">
        <v>2018</v>
      </c>
      <c r="P166" s="8" t="s">
        <v>140</v>
      </c>
      <c r="Q166" s="9" t="s">
        <v>594</v>
      </c>
      <c r="R166" s="8" t="s">
        <v>516</v>
      </c>
      <c r="S166" s="8" t="s">
        <v>55</v>
      </c>
      <c r="T166" s="8"/>
      <c r="X166" t="s">
        <v>219</v>
      </c>
    </row>
    <row r="167" spans="1:24" ht="15" customHeight="1">
      <c r="A167" s="8">
        <v>0.03</v>
      </c>
      <c r="B167" s="124" t="s">
        <v>257</v>
      </c>
      <c r="C167" s="124">
        <v>25</v>
      </c>
      <c r="D167" s="124">
        <v>103</v>
      </c>
      <c r="E167" s="8" t="s">
        <v>47</v>
      </c>
      <c r="F167" s="8" t="s">
        <v>372</v>
      </c>
      <c r="G167" t="s">
        <v>62</v>
      </c>
      <c r="H167" s="8" t="s">
        <v>870</v>
      </c>
      <c r="I167" s="8" t="s">
        <v>30</v>
      </c>
      <c r="J167" s="8" t="s">
        <v>148</v>
      </c>
      <c r="K167" s="8" t="s">
        <v>40</v>
      </c>
      <c r="L167" s="8">
        <v>1</v>
      </c>
      <c r="M167" s="8">
        <v>17</v>
      </c>
      <c r="N167" s="8">
        <v>2001</v>
      </c>
      <c r="O167" s="8">
        <v>2018</v>
      </c>
      <c r="P167" s="8" t="s">
        <v>140</v>
      </c>
      <c r="Q167" s="9" t="s">
        <v>594</v>
      </c>
      <c r="R167" s="8" t="s">
        <v>516</v>
      </c>
      <c r="S167" s="8" t="s">
        <v>55</v>
      </c>
      <c r="T167" s="8"/>
      <c r="X167" t="s">
        <v>219</v>
      </c>
    </row>
    <row r="168" spans="1:24" ht="15" customHeight="1">
      <c r="A168" s="8">
        <v>0.02</v>
      </c>
      <c r="B168" s="124" t="s">
        <v>257</v>
      </c>
      <c r="C168" s="124">
        <v>25</v>
      </c>
      <c r="D168" s="124">
        <v>103</v>
      </c>
      <c r="E168" s="8" t="s">
        <v>47</v>
      </c>
      <c r="F168" s="8" t="s">
        <v>372</v>
      </c>
      <c r="G168" t="s">
        <v>62</v>
      </c>
      <c r="H168" s="8" t="s">
        <v>870</v>
      </c>
      <c r="I168" s="8" t="s">
        <v>30</v>
      </c>
      <c r="J168" s="8" t="s">
        <v>148</v>
      </c>
      <c r="K168" s="8" t="s">
        <v>40</v>
      </c>
      <c r="L168" s="8">
        <v>1</v>
      </c>
      <c r="M168" s="8">
        <v>17</v>
      </c>
      <c r="N168" s="8">
        <v>2001</v>
      </c>
      <c r="O168" s="8">
        <v>2018</v>
      </c>
      <c r="P168" s="8" t="s">
        <v>140</v>
      </c>
      <c r="Q168" s="9" t="s">
        <v>594</v>
      </c>
      <c r="R168" s="8" t="s">
        <v>516</v>
      </c>
      <c r="S168" s="8" t="s">
        <v>55</v>
      </c>
      <c r="T168" s="8"/>
      <c r="X168" t="s">
        <v>219</v>
      </c>
    </row>
    <row r="169" spans="1:24" ht="15" customHeight="1">
      <c r="A169" s="8">
        <v>4.1430000000000002E-2</v>
      </c>
      <c r="B169" s="124" t="s">
        <v>871</v>
      </c>
      <c r="C169" s="8">
        <v>25</v>
      </c>
      <c r="D169" s="8">
        <v>101</v>
      </c>
      <c r="E169" s="8" t="s">
        <v>37</v>
      </c>
      <c r="F169" s="8" t="s">
        <v>872</v>
      </c>
      <c r="G169" t="s">
        <v>62</v>
      </c>
      <c r="H169" s="8" t="s">
        <v>600</v>
      </c>
      <c r="I169" s="168" t="s">
        <v>689</v>
      </c>
      <c r="J169" s="168" t="s">
        <v>689</v>
      </c>
      <c r="K169" s="168" t="s">
        <v>689</v>
      </c>
      <c r="L169" s="8">
        <v>7</v>
      </c>
      <c r="M169" s="8">
        <v>20</v>
      </c>
      <c r="N169" s="8">
        <v>2000</v>
      </c>
      <c r="O169" s="8">
        <v>2020</v>
      </c>
      <c r="P169" s="8" t="s">
        <v>226</v>
      </c>
      <c r="Q169" s="9" t="s">
        <v>598</v>
      </c>
      <c r="R169" s="8" t="s">
        <v>599</v>
      </c>
      <c r="S169" s="8" t="s">
        <v>362</v>
      </c>
      <c r="T169" s="8"/>
      <c r="X169" t="s">
        <v>219</v>
      </c>
    </row>
    <row r="170" spans="1:24" ht="15" customHeight="1">
      <c r="A170" s="8">
        <v>1.6E-2</v>
      </c>
      <c r="B170" s="124" t="s">
        <v>82</v>
      </c>
      <c r="C170" s="8">
        <v>36</v>
      </c>
      <c r="D170" s="8">
        <v>104</v>
      </c>
      <c r="E170" s="8" t="s">
        <v>37</v>
      </c>
      <c r="F170" s="8" t="s">
        <v>410</v>
      </c>
      <c r="G170" s="8" t="s">
        <v>49</v>
      </c>
      <c r="H170" s="8" t="s">
        <v>600</v>
      </c>
      <c r="I170" s="8" t="s">
        <v>30</v>
      </c>
      <c r="J170" s="168" t="s">
        <v>689</v>
      </c>
      <c r="K170" s="168" t="s">
        <v>689</v>
      </c>
      <c r="L170" s="8">
        <v>2260</v>
      </c>
      <c r="M170" s="8">
        <v>37</v>
      </c>
      <c r="N170" s="8">
        <v>1985</v>
      </c>
      <c r="O170" s="8">
        <v>2022</v>
      </c>
      <c r="P170" s="8" t="s">
        <v>226</v>
      </c>
      <c r="Q170" s="9" t="s">
        <v>602</v>
      </c>
      <c r="R170" s="8" t="s">
        <v>500</v>
      </c>
      <c r="S170" s="8" t="s">
        <v>339</v>
      </c>
      <c r="T170" s="8"/>
      <c r="X170" t="s">
        <v>219</v>
      </c>
    </row>
    <row r="171" spans="1:24" ht="15" customHeight="1">
      <c r="A171" s="8">
        <v>2.5999999999999999E-2</v>
      </c>
      <c r="B171" s="8" t="s">
        <v>575</v>
      </c>
      <c r="C171" s="124">
        <v>25</v>
      </c>
      <c r="D171" s="124">
        <v>103</v>
      </c>
      <c r="E171" s="8" t="s">
        <v>47</v>
      </c>
      <c r="F171" s="8" t="s">
        <v>604</v>
      </c>
      <c r="G171" s="8" t="s">
        <v>49</v>
      </c>
      <c r="H171" s="8" t="s">
        <v>605</v>
      </c>
      <c r="I171" s="8" t="s">
        <v>30</v>
      </c>
      <c r="J171" s="8" t="s">
        <v>40</v>
      </c>
      <c r="K171" s="8" t="s">
        <v>40</v>
      </c>
      <c r="L171" s="8">
        <v>1</v>
      </c>
      <c r="M171" s="8">
        <v>69</v>
      </c>
      <c r="N171" s="8">
        <v>1951</v>
      </c>
      <c r="O171" s="8">
        <v>2020</v>
      </c>
      <c r="P171" s="8" t="s">
        <v>226</v>
      </c>
      <c r="Q171" s="8" t="s">
        <v>873</v>
      </c>
      <c r="R171" s="8" t="s">
        <v>472</v>
      </c>
      <c r="S171" s="8" t="s">
        <v>580</v>
      </c>
      <c r="T171" s="8"/>
      <c r="X171" t="s">
        <v>219</v>
      </c>
    </row>
    <row r="172" spans="1:24" ht="15" customHeight="1">
      <c r="A172" s="8">
        <v>7.0000000000000001E-3</v>
      </c>
      <c r="B172" s="8" t="s">
        <v>70</v>
      </c>
      <c r="C172" s="8">
        <v>32</v>
      </c>
      <c r="D172" s="8">
        <v>88</v>
      </c>
      <c r="E172" s="8" t="s">
        <v>37</v>
      </c>
      <c r="F172" s="8" t="s">
        <v>410</v>
      </c>
      <c r="G172" s="8" t="s">
        <v>49</v>
      </c>
      <c r="H172" s="168" t="s">
        <v>689</v>
      </c>
      <c r="I172" s="8" t="s">
        <v>30</v>
      </c>
      <c r="J172" s="169" t="s">
        <v>874</v>
      </c>
      <c r="K172" t="s">
        <v>31</v>
      </c>
      <c r="L172" s="8">
        <v>96</v>
      </c>
      <c r="M172" s="8">
        <v>22</v>
      </c>
      <c r="N172" s="8">
        <v>2000</v>
      </c>
      <c r="O172" s="8">
        <v>2022</v>
      </c>
      <c r="P172" s="8" t="s">
        <v>226</v>
      </c>
      <c r="Q172" s="8" t="s">
        <v>609</v>
      </c>
      <c r="R172" s="8" t="s">
        <v>875</v>
      </c>
      <c r="S172" s="8" t="s">
        <v>180</v>
      </c>
      <c r="T172" s="8"/>
      <c r="X172" t="s">
        <v>219</v>
      </c>
    </row>
    <row r="173" spans="1:24" ht="15" customHeight="1">
      <c r="A173" s="8">
        <v>2.3E-2</v>
      </c>
      <c r="B173" s="8" t="s">
        <v>611</v>
      </c>
      <c r="C173" s="8">
        <v>69</v>
      </c>
      <c r="D173" s="8">
        <v>28</v>
      </c>
      <c r="E173" s="8" t="s">
        <v>47</v>
      </c>
      <c r="F173" s="8" t="s">
        <v>612</v>
      </c>
      <c r="G173" s="8" t="s">
        <v>49</v>
      </c>
      <c r="H173" s="8" t="s">
        <v>876</v>
      </c>
      <c r="I173" s="169" t="s">
        <v>877</v>
      </c>
      <c r="J173" s="8" t="s">
        <v>613</v>
      </c>
      <c r="K173" s="8" t="s">
        <v>40</v>
      </c>
      <c r="L173" s="8">
        <v>1</v>
      </c>
      <c r="M173" s="8">
        <v>63</v>
      </c>
      <c r="N173" s="8">
        <v>1960</v>
      </c>
      <c r="O173" s="8">
        <v>2023</v>
      </c>
      <c r="P173" s="8" t="s">
        <v>226</v>
      </c>
      <c r="Q173" s="14" t="s">
        <v>53</v>
      </c>
      <c r="R173" s="8" t="s">
        <v>614</v>
      </c>
      <c r="S173" s="8" t="s">
        <v>55</v>
      </c>
      <c r="T173" s="8"/>
      <c r="X173" t="s">
        <v>219</v>
      </c>
    </row>
    <row r="174" spans="1:24" ht="15" customHeight="1">
      <c r="A174" s="8">
        <v>3.5000000000000003E-2</v>
      </c>
      <c r="B174" s="8" t="s">
        <v>36</v>
      </c>
      <c r="C174" s="8">
        <v>52</v>
      </c>
      <c r="D174" s="8">
        <v>19</v>
      </c>
      <c r="E174" s="8" t="s">
        <v>37</v>
      </c>
      <c r="F174" s="8" t="s">
        <v>410</v>
      </c>
      <c r="G174" s="8" t="s">
        <v>49</v>
      </c>
      <c r="H174" s="8" t="s">
        <v>878</v>
      </c>
      <c r="I174" s="8" t="s">
        <v>865</v>
      </c>
      <c r="J174" s="8" t="s">
        <v>617</v>
      </c>
      <c r="K174" s="8" t="s">
        <v>40</v>
      </c>
      <c r="L174" s="8">
        <v>6</v>
      </c>
      <c r="M174" s="8">
        <v>29</v>
      </c>
      <c r="N174" s="8">
        <v>1994</v>
      </c>
      <c r="O174" s="8">
        <v>2023</v>
      </c>
      <c r="P174" s="8" t="s">
        <v>226</v>
      </c>
      <c r="Q174" s="8" t="s">
        <v>412</v>
      </c>
      <c r="R174" s="8" t="s">
        <v>413</v>
      </c>
      <c r="S174" s="8" t="s">
        <v>558</v>
      </c>
      <c r="T174" s="8"/>
      <c r="X174" t="s">
        <v>219</v>
      </c>
    </row>
    <row r="175" spans="1:24" ht="15" customHeight="1">
      <c r="A175" s="8">
        <v>0.03</v>
      </c>
      <c r="B175" s="8" t="s">
        <v>615</v>
      </c>
      <c r="C175" s="8">
        <v>-32</v>
      </c>
      <c r="D175" s="8">
        <v>-52</v>
      </c>
      <c r="E175" s="8" t="s">
        <v>37</v>
      </c>
      <c r="F175" s="8" t="s">
        <v>185</v>
      </c>
      <c r="G175" t="s">
        <v>62</v>
      </c>
      <c r="H175" s="8" t="s">
        <v>616</v>
      </c>
      <c r="I175" s="8" t="s">
        <v>865</v>
      </c>
      <c r="J175" s="8" t="s">
        <v>617</v>
      </c>
      <c r="K175" s="8" t="s">
        <v>40</v>
      </c>
      <c r="L175" s="8">
        <v>3</v>
      </c>
      <c r="M175" s="8">
        <v>20</v>
      </c>
      <c r="N175" s="8">
        <v>2002</v>
      </c>
      <c r="O175" s="8">
        <v>2022</v>
      </c>
      <c r="P175" s="8" t="s">
        <v>226</v>
      </c>
      <c r="Q175" s="9" t="s">
        <v>618</v>
      </c>
      <c r="R175" s="8" t="s">
        <v>619</v>
      </c>
      <c r="S175" s="8" t="s">
        <v>620</v>
      </c>
      <c r="T175" s="8"/>
      <c r="X175" t="s">
        <v>219</v>
      </c>
    </row>
    <row r="176" spans="1:24" ht="15" customHeight="1">
      <c r="A176" s="8">
        <v>0.04</v>
      </c>
      <c r="B176" s="8" t="s">
        <v>615</v>
      </c>
      <c r="C176" s="8">
        <v>-32</v>
      </c>
      <c r="D176" s="8">
        <v>-52</v>
      </c>
      <c r="E176" s="8" t="s">
        <v>37</v>
      </c>
      <c r="F176" s="8" t="s">
        <v>185</v>
      </c>
      <c r="G176" t="s">
        <v>62</v>
      </c>
      <c r="H176" s="8" t="s">
        <v>616</v>
      </c>
      <c r="I176" s="8" t="s">
        <v>865</v>
      </c>
      <c r="J176" s="8" t="s">
        <v>621</v>
      </c>
      <c r="K176" s="8" t="s">
        <v>81</v>
      </c>
      <c r="L176" s="8">
        <v>3</v>
      </c>
      <c r="M176" s="8">
        <v>20</v>
      </c>
      <c r="N176" s="8">
        <v>2002</v>
      </c>
      <c r="O176" s="8">
        <v>2022</v>
      </c>
      <c r="P176" s="8" t="s">
        <v>226</v>
      </c>
      <c r="Q176" s="9" t="s">
        <v>618</v>
      </c>
      <c r="R176" s="8" t="s">
        <v>619</v>
      </c>
      <c r="S176" s="8" t="s">
        <v>620</v>
      </c>
      <c r="T176" s="8"/>
      <c r="X176" t="s">
        <v>219</v>
      </c>
    </row>
    <row r="177" spans="1:24" ht="15" customHeight="1">
      <c r="A177" s="8">
        <v>0.03</v>
      </c>
      <c r="B177" s="8" t="s">
        <v>615</v>
      </c>
      <c r="C177" s="8">
        <v>-32</v>
      </c>
      <c r="D177" s="8">
        <v>-52</v>
      </c>
      <c r="E177" s="8" t="s">
        <v>37</v>
      </c>
      <c r="F177" s="8" t="s">
        <v>185</v>
      </c>
      <c r="G177" t="s">
        <v>62</v>
      </c>
      <c r="H177" s="8" t="s">
        <v>616</v>
      </c>
      <c r="I177" s="8" t="s">
        <v>865</v>
      </c>
      <c r="J177" s="8" t="s">
        <v>621</v>
      </c>
      <c r="K177" s="8" t="s">
        <v>31</v>
      </c>
      <c r="L177" s="8">
        <v>3</v>
      </c>
      <c r="M177" s="8">
        <v>20</v>
      </c>
      <c r="N177" s="8">
        <v>2002</v>
      </c>
      <c r="O177" s="8">
        <v>2022</v>
      </c>
      <c r="P177" s="8" t="s">
        <v>226</v>
      </c>
      <c r="Q177" s="9" t="s">
        <v>618</v>
      </c>
      <c r="R177" s="8" t="s">
        <v>619</v>
      </c>
      <c r="S177" s="8" t="s">
        <v>620</v>
      </c>
      <c r="T177" s="8"/>
      <c r="X177" t="s">
        <v>219</v>
      </c>
    </row>
    <row r="178" spans="1:24" ht="15" customHeight="1">
      <c r="A178" s="8">
        <v>1.7999999999999999E-2</v>
      </c>
      <c r="B178" s="8" t="s">
        <v>312</v>
      </c>
      <c r="C178" s="8">
        <v>16</v>
      </c>
      <c r="D178" s="9">
        <v>103</v>
      </c>
      <c r="E178" s="8" t="s">
        <v>37</v>
      </c>
      <c r="F178" s="8" t="s">
        <v>622</v>
      </c>
      <c r="G178" t="s">
        <v>62</v>
      </c>
      <c r="H178" s="8" t="s">
        <v>623</v>
      </c>
      <c r="I178" s="8" t="s">
        <v>30</v>
      </c>
      <c r="J178" s="8" t="s">
        <v>148</v>
      </c>
      <c r="K178" s="8" t="s">
        <v>40</v>
      </c>
      <c r="L178" s="8">
        <v>80</v>
      </c>
      <c r="M178" s="8">
        <v>34</v>
      </c>
      <c r="N178" s="8">
        <v>1986</v>
      </c>
      <c r="O178" s="8">
        <v>2020</v>
      </c>
      <c r="P178" s="8" t="s">
        <v>226</v>
      </c>
      <c r="Q178" s="14" t="s">
        <v>315</v>
      </c>
      <c r="R178" s="8" t="s">
        <v>316</v>
      </c>
      <c r="S178" s="8" t="s">
        <v>318</v>
      </c>
      <c r="T178" s="8"/>
      <c r="X178" t="s">
        <v>219</v>
      </c>
    </row>
    <row r="179" spans="1:24" ht="15" customHeight="1">
      <c r="A179" s="8">
        <v>1.2999999999999999E-2</v>
      </c>
      <c r="B179" s="8" t="s">
        <v>312</v>
      </c>
      <c r="C179" s="8">
        <v>16</v>
      </c>
      <c r="D179" s="9">
        <v>103</v>
      </c>
      <c r="E179" s="8" t="s">
        <v>37</v>
      </c>
      <c r="F179" s="8" t="s">
        <v>622</v>
      </c>
      <c r="G179" t="s">
        <v>62</v>
      </c>
      <c r="H179" s="8" t="s">
        <v>623</v>
      </c>
      <c r="I179" s="8" t="s">
        <v>30</v>
      </c>
      <c r="J179" s="8" t="s">
        <v>155</v>
      </c>
      <c r="K179" s="8" t="s">
        <v>155</v>
      </c>
      <c r="L179" s="8">
        <v>80</v>
      </c>
      <c r="M179" s="8">
        <v>34</v>
      </c>
      <c r="N179" s="8">
        <v>1986</v>
      </c>
      <c r="O179" s="8">
        <v>2020</v>
      </c>
      <c r="P179" s="8" t="s">
        <v>226</v>
      </c>
      <c r="Q179" s="14" t="s">
        <v>315</v>
      </c>
      <c r="R179" s="8" t="s">
        <v>316</v>
      </c>
      <c r="S179" s="8" t="s">
        <v>318</v>
      </c>
      <c r="T179" s="8"/>
      <c r="X179" t="s">
        <v>219</v>
      </c>
    </row>
    <row r="180" spans="1:24" ht="15" customHeight="1">
      <c r="A180" s="8">
        <v>4.3999999999999997E-2</v>
      </c>
      <c r="B180" s="8" t="s">
        <v>36</v>
      </c>
      <c r="C180" s="8">
        <v>54</v>
      </c>
      <c r="D180" s="9">
        <v>19</v>
      </c>
      <c r="E180" s="8" t="s">
        <v>37</v>
      </c>
      <c r="F180" s="8" t="s">
        <v>879</v>
      </c>
      <c r="G180" s="8" t="s">
        <v>103</v>
      </c>
      <c r="H180" s="8" t="s">
        <v>624</v>
      </c>
      <c r="I180" s="8" t="s">
        <v>30</v>
      </c>
      <c r="J180" s="8" t="s">
        <v>40</v>
      </c>
      <c r="K180" s="8" t="s">
        <v>40</v>
      </c>
      <c r="L180" s="8">
        <v>25</v>
      </c>
      <c r="M180" s="8">
        <v>29</v>
      </c>
      <c r="N180" s="8">
        <v>1987</v>
      </c>
      <c r="O180" s="8">
        <v>2016</v>
      </c>
      <c r="P180" s="8" t="s">
        <v>226</v>
      </c>
      <c r="Q180" s="166" t="s">
        <v>123</v>
      </c>
      <c r="R180" s="8" t="s">
        <v>880</v>
      </c>
      <c r="S180" s="8" t="s">
        <v>881</v>
      </c>
      <c r="T180" s="8"/>
      <c r="X180" t="s">
        <v>219</v>
      </c>
    </row>
    <row r="181" spans="1:24" ht="15" customHeight="1">
      <c r="A181" s="8">
        <v>5.6000000000000001E-2</v>
      </c>
      <c r="B181" s="8" t="s">
        <v>36</v>
      </c>
      <c r="C181" s="8">
        <v>54</v>
      </c>
      <c r="D181" s="9">
        <v>19</v>
      </c>
      <c r="E181" s="8" t="s">
        <v>37</v>
      </c>
      <c r="F181" s="8" t="s">
        <v>879</v>
      </c>
      <c r="G181" s="8" t="s">
        <v>103</v>
      </c>
      <c r="H181" s="8" t="s">
        <v>624</v>
      </c>
      <c r="I181" s="8" t="s">
        <v>30</v>
      </c>
      <c r="J181" s="8" t="s">
        <v>129</v>
      </c>
      <c r="K181" s="8" t="s">
        <v>31</v>
      </c>
      <c r="L181" s="8">
        <v>25</v>
      </c>
      <c r="M181" s="8">
        <v>29</v>
      </c>
      <c r="N181" s="8">
        <v>1987</v>
      </c>
      <c r="O181" s="8">
        <v>2016</v>
      </c>
      <c r="P181" s="8" t="s">
        <v>226</v>
      </c>
      <c r="Q181" s="166" t="s">
        <v>123</v>
      </c>
      <c r="R181" s="8" t="s">
        <v>880</v>
      </c>
      <c r="S181" s="8" t="s">
        <v>881</v>
      </c>
      <c r="T181" s="8"/>
      <c r="X181" t="s">
        <v>219</v>
      </c>
    </row>
    <row r="182" spans="1:24" ht="15" customHeight="1">
      <c r="A182" s="124">
        <v>1.2999999999999999E-2</v>
      </c>
      <c r="B182" s="8" t="s">
        <v>26</v>
      </c>
      <c r="C182" s="8">
        <v>0</v>
      </c>
      <c r="D182" s="8">
        <v>-108.8</v>
      </c>
      <c r="E182" s="8" t="s">
        <v>26</v>
      </c>
      <c r="F182" s="124" t="s">
        <v>496</v>
      </c>
      <c r="G182" s="8" t="s">
        <v>49</v>
      </c>
      <c r="H182" s="124" t="s">
        <v>497</v>
      </c>
      <c r="I182" s="124" t="s">
        <v>30</v>
      </c>
      <c r="J182" s="124" t="s">
        <v>498</v>
      </c>
      <c r="K182" s="8" t="s">
        <v>40</v>
      </c>
      <c r="L182" s="124">
        <v>1260</v>
      </c>
      <c r="M182" s="8">
        <v>43</v>
      </c>
      <c r="N182" s="124">
        <v>1979</v>
      </c>
      <c r="O182" s="124">
        <v>2022</v>
      </c>
      <c r="P182" s="124" t="s">
        <v>226</v>
      </c>
      <c r="Q182" s="5" t="s">
        <v>499</v>
      </c>
      <c r="R182" s="8" t="s">
        <v>505</v>
      </c>
      <c r="S182" s="8" t="s">
        <v>501</v>
      </c>
      <c r="T182" s="8"/>
      <c r="X182" t="s">
        <v>219</v>
      </c>
    </row>
    <row r="183" spans="1:24" ht="15" customHeight="1">
      <c r="A183" s="124">
        <v>2.3E-2</v>
      </c>
      <c r="B183" s="8" t="s">
        <v>26</v>
      </c>
      <c r="C183" s="8">
        <v>0</v>
      </c>
      <c r="D183" s="8">
        <v>-108.8</v>
      </c>
      <c r="E183" s="8" t="s">
        <v>26</v>
      </c>
      <c r="F183" s="124" t="s">
        <v>496</v>
      </c>
      <c r="G183" s="8" t="s">
        <v>49</v>
      </c>
      <c r="H183" s="124" t="s">
        <v>497</v>
      </c>
      <c r="I183" s="124" t="s">
        <v>30</v>
      </c>
      <c r="J183" s="124" t="s">
        <v>504</v>
      </c>
      <c r="K183" s="8" t="s">
        <v>31</v>
      </c>
      <c r="L183" s="124">
        <v>1260</v>
      </c>
      <c r="M183" s="8">
        <v>43</v>
      </c>
      <c r="N183" s="124">
        <v>1979</v>
      </c>
      <c r="O183" s="124">
        <v>2022</v>
      </c>
      <c r="P183" s="124" t="s">
        <v>226</v>
      </c>
      <c r="Q183" s="5" t="s">
        <v>499</v>
      </c>
      <c r="R183" s="8" t="s">
        <v>505</v>
      </c>
      <c r="S183" s="8" t="s">
        <v>501</v>
      </c>
      <c r="T183" s="8"/>
      <c r="X183" t="s">
        <v>219</v>
      </c>
    </row>
    <row r="184" spans="1:24" ht="15" customHeight="1">
      <c r="A184" s="8">
        <v>6.6000000000000003E-2</v>
      </c>
      <c r="B184" s="8" t="s">
        <v>625</v>
      </c>
      <c r="C184" s="8">
        <v>29</v>
      </c>
      <c r="D184" s="8">
        <v>113</v>
      </c>
      <c r="E184" s="8" t="s">
        <v>47</v>
      </c>
      <c r="F184" s="92" t="s">
        <v>882</v>
      </c>
      <c r="G184" t="s">
        <v>62</v>
      </c>
      <c r="H184" s="124" t="s">
        <v>627</v>
      </c>
      <c r="I184" s="124" t="s">
        <v>30</v>
      </c>
      <c r="J184" s="124" t="s">
        <v>40</v>
      </c>
      <c r="K184" s="124" t="s">
        <v>40</v>
      </c>
      <c r="L184" s="124">
        <v>1</v>
      </c>
      <c r="M184" s="8">
        <v>34</v>
      </c>
      <c r="N184" s="124">
        <v>1988</v>
      </c>
      <c r="O184" s="124">
        <v>2022</v>
      </c>
      <c r="P184" s="124" t="s">
        <v>226</v>
      </c>
      <c r="Q184" s="8" t="s">
        <v>628</v>
      </c>
      <c r="R184" s="8" t="s">
        <v>629</v>
      </c>
      <c r="S184" s="8" t="s">
        <v>55</v>
      </c>
      <c r="T184" s="8"/>
      <c r="X184" t="s">
        <v>219</v>
      </c>
    </row>
    <row r="185" spans="1:24" ht="15" customHeight="1">
      <c r="A185" s="8">
        <v>0.15</v>
      </c>
      <c r="B185" s="8" t="s">
        <v>625</v>
      </c>
      <c r="C185" s="8">
        <v>29</v>
      </c>
      <c r="D185" s="8">
        <v>113</v>
      </c>
      <c r="E185" s="8" t="s">
        <v>47</v>
      </c>
      <c r="F185" s="92" t="s">
        <v>882</v>
      </c>
      <c r="G185" t="s">
        <v>62</v>
      </c>
      <c r="H185" s="124" t="s">
        <v>627</v>
      </c>
      <c r="I185" s="124" t="s">
        <v>30</v>
      </c>
      <c r="J185" s="124" t="s">
        <v>40</v>
      </c>
      <c r="K185" s="124" t="s">
        <v>81</v>
      </c>
      <c r="L185" s="124">
        <v>1</v>
      </c>
      <c r="M185" s="8">
        <v>34</v>
      </c>
      <c r="N185" s="124">
        <v>1988</v>
      </c>
      <c r="O185" s="124">
        <v>2022</v>
      </c>
      <c r="P185" s="124" t="s">
        <v>226</v>
      </c>
      <c r="Q185" s="8" t="s">
        <v>628</v>
      </c>
      <c r="R185" s="8" t="s">
        <v>629</v>
      </c>
      <c r="S185" s="8" t="s">
        <v>55</v>
      </c>
      <c r="T185" s="8"/>
      <c r="X185" t="s">
        <v>219</v>
      </c>
    </row>
    <row r="186" spans="1:24" ht="15" customHeight="1">
      <c r="A186" s="8">
        <v>2.5999999999999999E-2</v>
      </c>
      <c r="B186" s="8" t="s">
        <v>625</v>
      </c>
      <c r="C186" s="8">
        <v>29</v>
      </c>
      <c r="D186" s="8">
        <v>113</v>
      </c>
      <c r="E186" s="8" t="s">
        <v>47</v>
      </c>
      <c r="F186" s="92" t="s">
        <v>882</v>
      </c>
      <c r="G186" t="s">
        <v>62</v>
      </c>
      <c r="H186" s="124" t="s">
        <v>627</v>
      </c>
      <c r="I186" s="124" t="s">
        <v>30</v>
      </c>
      <c r="J186" s="124" t="s">
        <v>40</v>
      </c>
      <c r="K186" s="124" t="s">
        <v>31</v>
      </c>
      <c r="L186" s="124">
        <v>1</v>
      </c>
      <c r="M186" s="8">
        <v>34</v>
      </c>
      <c r="N186" s="124">
        <v>1988</v>
      </c>
      <c r="O186" s="124">
        <v>2022</v>
      </c>
      <c r="P186" s="124" t="s">
        <v>226</v>
      </c>
      <c r="Q186" s="8" t="s">
        <v>628</v>
      </c>
      <c r="R186" s="8" t="s">
        <v>629</v>
      </c>
      <c r="S186" s="8" t="s">
        <v>55</v>
      </c>
      <c r="T186" s="8"/>
      <c r="X186" t="s">
        <v>219</v>
      </c>
    </row>
    <row r="187" spans="1:24" ht="15" customHeight="1">
      <c r="A187" s="8">
        <v>4.4999999999999998E-2</v>
      </c>
      <c r="B187" s="8" t="s">
        <v>625</v>
      </c>
      <c r="C187" s="8">
        <v>29</v>
      </c>
      <c r="D187" s="8">
        <v>113</v>
      </c>
      <c r="E187" s="8" t="s">
        <v>47</v>
      </c>
      <c r="F187" s="92" t="s">
        <v>882</v>
      </c>
      <c r="G187" t="s">
        <v>62</v>
      </c>
      <c r="H187" s="124" t="s">
        <v>627</v>
      </c>
      <c r="I187" s="124" t="s">
        <v>30</v>
      </c>
      <c r="J187" s="124" t="s">
        <v>40</v>
      </c>
      <c r="K187" s="124" t="s">
        <v>80</v>
      </c>
      <c r="L187" s="124">
        <v>1</v>
      </c>
      <c r="M187" s="8">
        <v>34</v>
      </c>
      <c r="N187" s="124">
        <v>1988</v>
      </c>
      <c r="O187" s="124">
        <v>2022</v>
      </c>
      <c r="P187" s="124" t="s">
        <v>226</v>
      </c>
      <c r="Q187" s="8" t="s">
        <v>628</v>
      </c>
      <c r="R187" s="8" t="s">
        <v>629</v>
      </c>
      <c r="S187" s="8" t="s">
        <v>55</v>
      </c>
      <c r="T187" s="8"/>
      <c r="X187" t="s">
        <v>219</v>
      </c>
    </row>
    <row r="188" spans="1:24" ht="15" customHeight="1">
      <c r="A188" s="8">
        <v>4.2999999999999997E-2</v>
      </c>
      <c r="B188" s="8" t="s">
        <v>625</v>
      </c>
      <c r="C188" s="8">
        <v>29</v>
      </c>
      <c r="D188" s="8">
        <v>113</v>
      </c>
      <c r="E188" s="8" t="s">
        <v>47</v>
      </c>
      <c r="F188" s="92" t="s">
        <v>882</v>
      </c>
      <c r="G188" t="s">
        <v>62</v>
      </c>
      <c r="H188" s="124" t="s">
        <v>627</v>
      </c>
      <c r="I188" s="124" t="s">
        <v>30</v>
      </c>
      <c r="J188" s="124" t="s">
        <v>40</v>
      </c>
      <c r="K188" s="124" t="s">
        <v>73</v>
      </c>
      <c r="L188" s="124">
        <v>1</v>
      </c>
      <c r="M188" s="8">
        <v>34</v>
      </c>
      <c r="N188" s="124">
        <v>1988</v>
      </c>
      <c r="O188" s="124">
        <v>2022</v>
      </c>
      <c r="P188" s="124" t="s">
        <v>226</v>
      </c>
      <c r="Q188" s="8" t="s">
        <v>628</v>
      </c>
      <c r="R188" s="8" t="s">
        <v>629</v>
      </c>
      <c r="S188" s="8" t="s">
        <v>55</v>
      </c>
      <c r="T188" s="8"/>
      <c r="X188" t="s">
        <v>219</v>
      </c>
    </row>
    <row r="189" spans="1:24" ht="15" customHeight="1">
      <c r="A189" s="8">
        <v>1.2E-2</v>
      </c>
      <c r="B189" s="8" t="s">
        <v>82</v>
      </c>
      <c r="C189" s="8">
        <v>36</v>
      </c>
      <c r="D189" s="8">
        <v>104</v>
      </c>
      <c r="E189" s="8" t="s">
        <v>37</v>
      </c>
      <c r="F189" s="8" t="s">
        <v>410</v>
      </c>
      <c r="G189" s="8" t="s">
        <v>49</v>
      </c>
      <c r="H189" s="168" t="s">
        <v>883</v>
      </c>
      <c r="I189" s="168" t="s">
        <v>689</v>
      </c>
      <c r="J189" s="124" t="s">
        <v>630</v>
      </c>
      <c r="K189" s="124" t="s">
        <v>31</v>
      </c>
      <c r="L189" s="168" t="s">
        <v>689</v>
      </c>
      <c r="M189" s="8">
        <v>70</v>
      </c>
      <c r="N189" s="124">
        <v>1950</v>
      </c>
      <c r="O189" s="124">
        <v>2020</v>
      </c>
      <c r="P189" s="124" t="s">
        <v>226</v>
      </c>
      <c r="Q189" s="9" t="s">
        <v>631</v>
      </c>
      <c r="R189" s="8" t="s">
        <v>632</v>
      </c>
      <c r="S189" s="8" t="s">
        <v>172</v>
      </c>
      <c r="T189" s="8"/>
      <c r="X189" t="s">
        <v>219</v>
      </c>
    </row>
    <row r="190" spans="1:24" ht="15" customHeight="1">
      <c r="A190" s="8">
        <v>7.0000000000000001E-3</v>
      </c>
      <c r="B190" s="8" t="s">
        <v>633</v>
      </c>
      <c r="C190" s="8">
        <v>36</v>
      </c>
      <c r="D190" s="8">
        <v>104</v>
      </c>
      <c r="E190" s="8" t="s">
        <v>37</v>
      </c>
      <c r="F190" s="8" t="s">
        <v>410</v>
      </c>
      <c r="G190" s="8" t="s">
        <v>49</v>
      </c>
      <c r="H190" s="168" t="s">
        <v>883</v>
      </c>
      <c r="I190" s="168" t="s">
        <v>689</v>
      </c>
      <c r="J190" s="124" t="s">
        <v>630</v>
      </c>
      <c r="K190" s="124" t="s">
        <v>31</v>
      </c>
      <c r="L190" s="168" t="s">
        <v>689</v>
      </c>
      <c r="M190" s="8">
        <v>70</v>
      </c>
      <c r="N190" s="124">
        <v>1950</v>
      </c>
      <c r="O190" s="124">
        <v>2020</v>
      </c>
      <c r="P190" s="124" t="s">
        <v>226</v>
      </c>
      <c r="Q190" s="9" t="s">
        <v>631</v>
      </c>
      <c r="R190" s="8" t="s">
        <v>632</v>
      </c>
      <c r="S190" s="8" t="s">
        <v>172</v>
      </c>
      <c r="T190" s="8"/>
      <c r="X190" t="s">
        <v>219</v>
      </c>
    </row>
    <row r="191" spans="1:24" ht="15" customHeight="1">
      <c r="A191" s="8">
        <v>2.1000000000000001E-2</v>
      </c>
      <c r="B191" s="8" t="s">
        <v>634</v>
      </c>
      <c r="C191" s="8">
        <v>36</v>
      </c>
      <c r="D191" s="8">
        <v>104</v>
      </c>
      <c r="E191" s="8" t="s">
        <v>37</v>
      </c>
      <c r="F191" s="8" t="s">
        <v>410</v>
      </c>
      <c r="G191" s="8" t="s">
        <v>49</v>
      </c>
      <c r="H191" s="168" t="s">
        <v>883</v>
      </c>
      <c r="I191" s="168" t="s">
        <v>689</v>
      </c>
      <c r="J191" s="124" t="s">
        <v>630</v>
      </c>
      <c r="K191" s="124" t="s">
        <v>31</v>
      </c>
      <c r="L191" s="168" t="s">
        <v>689</v>
      </c>
      <c r="M191" s="8">
        <v>70</v>
      </c>
      <c r="N191" s="124">
        <v>1950</v>
      </c>
      <c r="O191" s="124">
        <v>2020</v>
      </c>
      <c r="P191" s="124" t="s">
        <v>226</v>
      </c>
      <c r="Q191" s="9" t="s">
        <v>631</v>
      </c>
      <c r="R191" s="8" t="s">
        <v>632</v>
      </c>
      <c r="S191" s="8" t="s">
        <v>172</v>
      </c>
      <c r="T191" s="8"/>
      <c r="X191" t="s">
        <v>219</v>
      </c>
    </row>
    <row r="192" spans="1:24" ht="15" customHeight="1">
      <c r="A192" s="8">
        <v>1.2999999999999999E-2</v>
      </c>
      <c r="B192" s="8" t="s">
        <v>635</v>
      </c>
      <c r="C192" s="8">
        <v>36</v>
      </c>
      <c r="D192" s="8">
        <v>104</v>
      </c>
      <c r="E192" s="8" t="s">
        <v>37</v>
      </c>
      <c r="F192" s="8" t="s">
        <v>410</v>
      </c>
      <c r="G192" s="8" t="s">
        <v>49</v>
      </c>
      <c r="H192" s="168" t="s">
        <v>883</v>
      </c>
      <c r="I192" s="168" t="s">
        <v>689</v>
      </c>
      <c r="J192" s="124" t="s">
        <v>630</v>
      </c>
      <c r="K192" s="124" t="s">
        <v>31</v>
      </c>
      <c r="L192" s="168" t="s">
        <v>689</v>
      </c>
      <c r="M192" s="8">
        <v>70</v>
      </c>
      <c r="N192" s="124">
        <v>1950</v>
      </c>
      <c r="O192" s="124">
        <v>2020</v>
      </c>
      <c r="P192" s="124" t="s">
        <v>226</v>
      </c>
      <c r="Q192" s="9" t="s">
        <v>631</v>
      </c>
      <c r="R192" s="8" t="s">
        <v>632</v>
      </c>
      <c r="S192" s="8" t="s">
        <v>172</v>
      </c>
      <c r="T192" s="8"/>
      <c r="X192" t="s">
        <v>219</v>
      </c>
    </row>
    <row r="193" spans="1:24" ht="15" customHeight="1">
      <c r="A193" s="8">
        <v>6.0000000000000001E-3</v>
      </c>
      <c r="B193" s="8" t="s">
        <v>636</v>
      </c>
      <c r="C193" s="8">
        <v>36</v>
      </c>
      <c r="D193" s="8">
        <v>104</v>
      </c>
      <c r="E193" s="8" t="s">
        <v>37</v>
      </c>
      <c r="F193" s="8" t="s">
        <v>410</v>
      </c>
      <c r="G193" s="8" t="s">
        <v>49</v>
      </c>
      <c r="H193" s="168" t="s">
        <v>883</v>
      </c>
      <c r="I193" s="168" t="s">
        <v>689</v>
      </c>
      <c r="J193" s="124" t="s">
        <v>630</v>
      </c>
      <c r="K193" s="124" t="s">
        <v>31</v>
      </c>
      <c r="L193" s="168" t="s">
        <v>689</v>
      </c>
      <c r="M193" s="8">
        <v>70</v>
      </c>
      <c r="N193" s="124">
        <v>1950</v>
      </c>
      <c r="O193" s="124">
        <v>2020</v>
      </c>
      <c r="P193" s="124" t="s">
        <v>226</v>
      </c>
      <c r="Q193" s="9" t="s">
        <v>631</v>
      </c>
      <c r="R193" s="8" t="s">
        <v>632</v>
      </c>
      <c r="S193" s="8" t="s">
        <v>172</v>
      </c>
      <c r="T193" s="8"/>
      <c r="X193" t="s">
        <v>219</v>
      </c>
    </row>
    <row r="194" spans="1:24" ht="15" customHeight="1">
      <c r="A194" s="8">
        <v>3.2829999999999998E-2</v>
      </c>
      <c r="B194" s="8" t="s">
        <v>637</v>
      </c>
      <c r="C194" s="8">
        <v>-48</v>
      </c>
      <c r="D194" s="8">
        <v>-73</v>
      </c>
      <c r="E194" s="8" t="s">
        <v>37</v>
      </c>
      <c r="F194" s="8" t="s">
        <v>399</v>
      </c>
      <c r="G194" t="s">
        <v>62</v>
      </c>
      <c r="H194" s="168" t="s">
        <v>883</v>
      </c>
      <c r="I194" s="168" t="s">
        <v>689</v>
      </c>
      <c r="J194" s="8" t="s">
        <v>129</v>
      </c>
      <c r="K194" s="124" t="s">
        <v>40</v>
      </c>
      <c r="L194" s="8">
        <v>6</v>
      </c>
      <c r="M194" s="8">
        <v>20</v>
      </c>
      <c r="N194" s="124">
        <v>2002</v>
      </c>
      <c r="O194" s="124">
        <v>2022</v>
      </c>
      <c r="P194" s="124" t="s">
        <v>226</v>
      </c>
      <c r="Q194" s="9" t="s">
        <v>401</v>
      </c>
      <c r="R194" s="8" t="s">
        <v>638</v>
      </c>
      <c r="S194" s="8" t="s">
        <v>397</v>
      </c>
      <c r="T194" s="8"/>
      <c r="X194" t="s">
        <v>219</v>
      </c>
    </row>
    <row r="195" spans="1:24" ht="15" customHeight="1">
      <c r="A195" s="8">
        <v>3.1829999999999997E-2</v>
      </c>
      <c r="B195" s="8" t="s">
        <v>637</v>
      </c>
      <c r="C195" s="8">
        <v>-48</v>
      </c>
      <c r="D195" s="8">
        <v>-73</v>
      </c>
      <c r="E195" s="8" t="s">
        <v>37</v>
      </c>
      <c r="F195" s="8" t="s">
        <v>399</v>
      </c>
      <c r="G195" t="s">
        <v>62</v>
      </c>
      <c r="H195" s="168" t="s">
        <v>883</v>
      </c>
      <c r="I195" s="168" t="s">
        <v>689</v>
      </c>
      <c r="J195" s="8" t="s">
        <v>129</v>
      </c>
      <c r="K195" s="124" t="s">
        <v>80</v>
      </c>
      <c r="L195" s="8">
        <v>6</v>
      </c>
      <c r="M195" s="8">
        <v>20</v>
      </c>
      <c r="N195" s="124">
        <v>2002</v>
      </c>
      <c r="O195" s="124">
        <v>2022</v>
      </c>
      <c r="P195" s="124" t="s">
        <v>226</v>
      </c>
      <c r="Q195" s="9" t="s">
        <v>401</v>
      </c>
      <c r="R195" s="8" t="s">
        <v>638</v>
      </c>
      <c r="S195" s="8" t="s">
        <v>397</v>
      </c>
      <c r="T195" s="8"/>
      <c r="X195" t="s">
        <v>219</v>
      </c>
    </row>
    <row r="196" spans="1:24" ht="15" customHeight="1">
      <c r="A196" s="8">
        <v>2.5999999999999999E-2</v>
      </c>
      <c r="B196" s="8" t="s">
        <v>637</v>
      </c>
      <c r="C196" s="8">
        <v>-48</v>
      </c>
      <c r="D196" s="8">
        <v>-73</v>
      </c>
      <c r="E196" s="8" t="s">
        <v>37</v>
      </c>
      <c r="F196" s="8" t="s">
        <v>399</v>
      </c>
      <c r="G196" t="s">
        <v>62</v>
      </c>
      <c r="H196" s="168" t="s">
        <v>883</v>
      </c>
      <c r="I196" s="168" t="s">
        <v>689</v>
      </c>
      <c r="J196" s="8" t="s">
        <v>129</v>
      </c>
      <c r="K196" s="124" t="s">
        <v>73</v>
      </c>
      <c r="L196" s="8">
        <v>6</v>
      </c>
      <c r="M196" s="8">
        <v>20</v>
      </c>
      <c r="N196" s="124">
        <v>2002</v>
      </c>
      <c r="O196" s="124">
        <v>2022</v>
      </c>
      <c r="P196" s="124" t="s">
        <v>226</v>
      </c>
      <c r="Q196" s="9" t="s">
        <v>401</v>
      </c>
      <c r="R196" s="8" t="s">
        <v>638</v>
      </c>
      <c r="S196" s="8" t="s">
        <v>397</v>
      </c>
      <c r="T196" s="8"/>
      <c r="X196" t="s">
        <v>219</v>
      </c>
    </row>
    <row r="197" spans="1:24" ht="15" customHeight="1">
      <c r="A197" s="8">
        <v>4.0329999999999998E-2</v>
      </c>
      <c r="B197" s="8" t="s">
        <v>637</v>
      </c>
      <c r="C197" s="8">
        <v>-48</v>
      </c>
      <c r="D197" s="8">
        <v>-73</v>
      </c>
      <c r="E197" s="8" t="s">
        <v>37</v>
      </c>
      <c r="F197" s="8" t="s">
        <v>399</v>
      </c>
      <c r="G197" t="s">
        <v>62</v>
      </c>
      <c r="H197" s="168" t="s">
        <v>883</v>
      </c>
      <c r="I197" s="168" t="s">
        <v>689</v>
      </c>
      <c r="J197" s="8" t="s">
        <v>129</v>
      </c>
      <c r="K197" s="124" t="s">
        <v>81</v>
      </c>
      <c r="L197" s="8">
        <v>6</v>
      </c>
      <c r="M197" s="8">
        <v>20</v>
      </c>
      <c r="N197" s="124">
        <v>2002</v>
      </c>
      <c r="O197" s="124">
        <v>2022</v>
      </c>
      <c r="P197" s="124" t="s">
        <v>226</v>
      </c>
      <c r="Q197" s="9" t="s">
        <v>401</v>
      </c>
      <c r="R197" s="8" t="s">
        <v>638</v>
      </c>
      <c r="S197" s="8" t="s">
        <v>397</v>
      </c>
      <c r="T197" s="8"/>
      <c r="X197" t="s">
        <v>219</v>
      </c>
    </row>
    <row r="198" spans="1:24" ht="15" customHeight="1">
      <c r="A198" s="8">
        <v>2.538E-2</v>
      </c>
      <c r="B198" s="8" t="s">
        <v>637</v>
      </c>
      <c r="C198" s="8">
        <v>-48</v>
      </c>
      <c r="D198" s="8">
        <v>-73</v>
      </c>
      <c r="E198" s="8" t="s">
        <v>37</v>
      </c>
      <c r="F198" s="8" t="s">
        <v>399</v>
      </c>
      <c r="G198" t="s">
        <v>62</v>
      </c>
      <c r="H198" s="168" t="s">
        <v>883</v>
      </c>
      <c r="I198" s="168" t="s">
        <v>689</v>
      </c>
      <c r="J198" s="8" t="s">
        <v>129</v>
      </c>
      <c r="K198" s="124" t="s">
        <v>31</v>
      </c>
      <c r="L198" s="8">
        <v>6</v>
      </c>
      <c r="M198" s="8">
        <v>20</v>
      </c>
      <c r="N198" s="124">
        <v>2002</v>
      </c>
      <c r="O198" s="124">
        <v>2022</v>
      </c>
      <c r="P198" s="124" t="s">
        <v>226</v>
      </c>
      <c r="Q198" s="9" t="s">
        <v>401</v>
      </c>
      <c r="R198" s="8" t="s">
        <v>638</v>
      </c>
      <c r="S198" s="8" t="s">
        <v>397</v>
      </c>
      <c r="T198" s="8"/>
      <c r="X198" t="s">
        <v>219</v>
      </c>
    </row>
  </sheetData>
  <autoFilter ref="A1:Y198" xr:uid="{9E372AF9-1525-4AFA-9DA7-127C5C23E971}"/>
  <dataValidations count="7">
    <dataValidation type="list" allowBlank="1" showInputMessage="1" showErrorMessage="1" sqref="N129 O130:O131 K199:K1048576 M125:M129 M132:M137" xr:uid="{636AB81B-5574-4FFA-A3AF-BD2C606790E4}">
      <formula1>"annual, spring, summer, winter, autumn"</formula1>
    </dataValidation>
    <dataValidation type="list" allowBlank="1" showInputMessage="1" showErrorMessage="1" sqref="I129:I131 H125:H137 G194:G1048576 G141:G144 G146:G147 G150:G151 G153:G157 G160:G169 G175:G179 G184:G188 G113:G129 G3:G111" xr:uid="{DB8DE31A-AC3D-4E3C-B12C-9BB65F7401EB}">
      <formula1>"satellite, in situ, modelled, sallite and in situ, modelled and in situ"</formula1>
    </dataValidation>
    <dataValidation type="list" allowBlank="1" showInputMessage="1" showErrorMessage="1" sqref="K1" xr:uid="{8EFADC23-D5C9-42D1-B5A4-04616C6D8D9C}">
      <formula1>"annual, spring, summer, winter, autumn, annual (night)"</formula1>
    </dataValidation>
    <dataValidation allowBlank="1" showInputMessage="1" showErrorMessage="1" sqref="G1 E1 E199:E1048576" xr:uid="{6DA73290-447C-47BA-9497-E7E22C011EEA}"/>
    <dataValidation type="list" allowBlank="1" showInputMessage="1" showErrorMessage="1" sqref="E2:E198" xr:uid="{3B3C1BFA-CA43-41A6-A832-258283671807}">
      <formula1>"global, region, country, point"</formula1>
    </dataValidation>
    <dataValidation type="list" allowBlank="1" showInputMessage="1" showErrorMessage="1" sqref="K2:K198" xr:uid="{D395437A-0A94-4EC1-A066-0D5247F8EB06}">
      <formula1>"annual, annual (night), summer, summer (night), autumn, winter, winter (night), spring, spring (night)"</formula1>
    </dataValidation>
    <dataValidation type="list" allowBlank="1" showInputMessage="1" showErrorMessage="1" sqref="G112 G2" xr:uid="{0DB905FE-067D-4D7F-B3FD-7805AECCD80D}">
      <formula1>"satellite, in situ, modelled, satellite and in situ, modelled and in situ"</formula1>
    </dataValidation>
  </dataValidations>
  <hyperlinks>
    <hyperlink ref="U4" r:id="rId1" xr:uid="{B500F022-4FEC-40DA-ACC2-2995BE7AEE30}"/>
    <hyperlink ref="U5" r:id="rId2" xr:uid="{953F2653-7D48-4F98-9734-8FA3C8E789AB}"/>
    <hyperlink ref="U11" r:id="rId3" xr:uid="{3929513E-7DC6-4A02-9993-E2EAF3778CC6}"/>
    <hyperlink ref="U12" r:id="rId4" xr:uid="{E96212FB-BB70-46AA-8D93-45476E3DF20B}"/>
    <hyperlink ref="U14" r:id="rId5" xr:uid="{ABDFF531-9B2F-46EA-AC76-1AFEDEDE199B}"/>
    <hyperlink ref="U3" r:id="rId6" xr:uid="{F169CD77-5509-418E-90F7-1ADD96D38DA8}"/>
    <hyperlink ref="U41" r:id="rId7" xr:uid="{531958DA-384C-4618-8A48-127BEEC65FE6}"/>
    <hyperlink ref="U10" r:id="rId8" xr:uid="{EAAA17F9-7700-44CE-A85F-AD93037C2095}"/>
    <hyperlink ref="U15" r:id="rId9" location="B23-resources-13-00149" xr:uid="{D76BFDD8-1BAB-4CFB-AA89-2E1419879F84}"/>
    <hyperlink ref="U13" r:id="rId10" xr:uid="{BC066B01-EADE-4A10-BB0A-2EE3FDF2446F}"/>
    <hyperlink ref="U16" r:id="rId11" xr:uid="{A9CB9070-3DF3-4F9B-AA2B-726404D15550}"/>
    <hyperlink ref="U17" r:id="rId12" xr:uid="{7EA51B5F-2FCF-48B5-A557-DDA914286A16}"/>
    <hyperlink ref="U18" r:id="rId13" xr:uid="{52742F0F-2052-44B6-A74E-1A2EFF52A5FA}"/>
    <hyperlink ref="U19" r:id="rId14" xr:uid="{C5E82FB0-3B58-4C63-ADCE-8652EF14013E}"/>
    <hyperlink ref="U20" r:id="rId15" xr:uid="{D1F2EA53-CC62-4BC5-A250-511EB35A1716}"/>
    <hyperlink ref="U21" r:id="rId16" xr:uid="{E4DEABEC-AC08-4C50-B24F-0741F5E4F417}"/>
    <hyperlink ref="U22" r:id="rId17" xr:uid="{7118DBF3-EE60-4FA5-BC40-2A59FAAEC1C9}"/>
    <hyperlink ref="U23" r:id="rId18" xr:uid="{AEF3B443-EB73-488A-9C52-CF5047C91E83}"/>
    <hyperlink ref="U24" r:id="rId19" xr:uid="{42341615-7232-4B4B-9B74-A60203825CEA}"/>
    <hyperlink ref="U25" r:id="rId20" xr:uid="{B80D4B7C-2854-4353-94D8-9044965DC379}"/>
    <hyperlink ref="U26" r:id="rId21" xr:uid="{616F8515-A67B-4837-B9C1-AD59B38FA520}"/>
    <hyperlink ref="U27" r:id="rId22" xr:uid="{D3AE466B-6F3A-452E-B250-962520B98FF6}"/>
    <hyperlink ref="U28" r:id="rId23" xr:uid="{EC4D0872-41B6-4DA8-916C-E4A30ED8C68E}"/>
    <hyperlink ref="U29" r:id="rId24" xr:uid="{7BD126C6-DFE5-4FC1-80DD-BFFCD6208A00}"/>
    <hyperlink ref="U30" r:id="rId25" xr:uid="{4DDCE32D-499A-404B-A580-0139D4198B03}"/>
    <hyperlink ref="U31" r:id="rId26" xr:uid="{141F4B5D-3087-4776-A15A-A0155140BBF4}"/>
    <hyperlink ref="U32" r:id="rId27" xr:uid="{D9C5CF1B-A4B4-4F86-BD82-790B13882976}"/>
    <hyperlink ref="U33" r:id="rId28" xr:uid="{3CF34A27-6EBB-4EF2-8FDF-A576160325B3}"/>
    <hyperlink ref="U37" r:id="rId29" xr:uid="{9CFE5F39-E200-438F-AC50-52945C5E977E}"/>
    <hyperlink ref="U34" r:id="rId30" xr:uid="{94591A13-F76E-4942-A630-086C4D3A7F7A}"/>
    <hyperlink ref="U35" r:id="rId31" xr:uid="{B4FF50FB-53B6-4C76-8FE0-A5203EE14A19}"/>
    <hyperlink ref="U36" r:id="rId32" xr:uid="{435CF330-FD86-465D-9CBD-58E99A82B75D}"/>
    <hyperlink ref="U38" r:id="rId33" xr:uid="{5D59E527-1F43-4D22-820E-1A2728178C79}"/>
    <hyperlink ref="U39" r:id="rId34" xr:uid="{97F2EFE7-D852-4762-AEAB-8AFCCF35F0A9}"/>
    <hyperlink ref="U40" r:id="rId35" xr:uid="{1B2B3F71-9247-4FBD-A5DE-89DDF363FA02}"/>
    <hyperlink ref="U9" r:id="rId36" xr:uid="{81920CF2-3F67-4D0B-AD32-956D7A8877C0}"/>
    <hyperlink ref="U8" r:id="rId37" xr:uid="{A8D5D8AC-B073-4528-AB84-68DE7F11D92C}"/>
    <hyperlink ref="U7" r:id="rId38" xr:uid="{8FC1F9C8-AAEB-49A5-99D5-D3B080D62218}"/>
    <hyperlink ref="U6" r:id="rId39" xr:uid="{A15345DE-7627-4D9C-B339-81C6425A94F8}"/>
    <hyperlink ref="U42" r:id="rId40" xr:uid="{BC9BAFCA-3DBC-42C9-A5AE-24368E709184}"/>
    <hyperlink ref="U43" r:id="rId41" display="Validation and Trend Analysis of Satellite-Derived Surface Water Temperature Observations Over Adirondack Lakes by Marzi Azarderakhsh, Carolien Mossel, Fahmeda Khanom, Aisha Malik, Abdou Bah, Jonathan Borrelli, Hamid Norouzi, Peter McIntyre, Kevin Rose :: SSRN" xr:uid="{21010833-7E5A-4D98-9304-3BD59C82278E}"/>
    <hyperlink ref="U44" r:id="rId42" xr:uid="{C03CA208-6EBC-4C3E-9B5F-ED2BF2D01E0B}"/>
    <hyperlink ref="U45" r:id="rId43" xr:uid="{6285A0A1-74F2-4E8F-BF46-E3A233629EF3}"/>
    <hyperlink ref="U47" r:id="rId44" xr:uid="{DAFE90C2-EE96-4CBC-A3EF-90CDA5BD2AE6}"/>
    <hyperlink ref="U49" r:id="rId45" xr:uid="{E327567B-43BF-47A1-BD33-E931834C1A22}"/>
    <hyperlink ref="U53" r:id="rId46" xr:uid="{040276A0-DB44-49EC-BC04-A06D496A3C8B}"/>
    <hyperlink ref="U54" r:id="rId47" xr:uid="{DCD51A7A-2783-45AF-ABBA-E309C80883C0}"/>
    <hyperlink ref="U55" r:id="rId48" xr:uid="{C699E4DA-7AD3-40FA-A0D3-4CB9707F268D}"/>
    <hyperlink ref="U56" r:id="rId49" xr:uid="{09E2272F-865B-4C3A-80B6-6618CF253B5D}"/>
    <hyperlink ref="U57" r:id="rId50" xr:uid="{B771BE73-488F-4938-B6A3-49D5D3438B9A}"/>
    <hyperlink ref="U58" r:id="rId51" xr:uid="{A8AF3068-F779-4BAC-AEAB-689C9F987DAE}"/>
    <hyperlink ref="U60" r:id="rId52" xr:uid="{D6499A2F-0A3C-4C68-B130-C0C4697C6AB9}"/>
    <hyperlink ref="U61" r:id="rId53" xr:uid="{F41A51BD-89F7-41DD-8710-D773788E8AEA}"/>
    <hyperlink ref="U62" r:id="rId54" xr:uid="{BA88E10A-CB9C-472B-A23D-FBF8FD8A511A}"/>
    <hyperlink ref="U69" r:id="rId55" xr:uid="{228D5F18-C66A-45B3-91B1-7DF99A3B55A7}"/>
    <hyperlink ref="U70" r:id="rId56" xr:uid="{9BB2DCC0-C032-417B-8DA0-15B3C4554424}"/>
    <hyperlink ref="U71" r:id="rId57" location="abstract" xr:uid="{CD0BE0C2-C328-490B-B4FC-E7A4EDB8B222}"/>
    <hyperlink ref="U82" r:id="rId58" xr:uid="{F464F9D9-C24B-42CF-8CEB-1D65B863FAD7}"/>
    <hyperlink ref="U83" r:id="rId59" xr:uid="{1E6C0B16-3BBF-4038-B6D4-818E8DBE700A}"/>
    <hyperlink ref="U84" r:id="rId60" xr:uid="{2179118F-FB6D-475E-9C89-84D0286BAA82}"/>
    <hyperlink ref="U85" r:id="rId61" xr:uid="{DA84BAEB-63C9-4C3D-AB29-3BF992DA9DEE}"/>
    <hyperlink ref="U59" r:id="rId62" xr:uid="{8FABAC4F-B4A8-410A-911C-99A320724510}"/>
    <hyperlink ref="U63" r:id="rId63" xr:uid="{1258A835-E6DA-4888-A933-03E43D816D07}"/>
    <hyperlink ref="U64" r:id="rId64" xr:uid="{3548884E-F50C-4C7F-8879-10E0B7F53731}"/>
    <hyperlink ref="U65" r:id="rId65" xr:uid="{47AE4705-562C-4F3F-9CDE-9A394E6F3B88}"/>
    <hyperlink ref="U66" r:id="rId66" xr:uid="{83260193-0D6E-4D4A-B5D5-CE4229A73938}"/>
    <hyperlink ref="U67" r:id="rId67" xr:uid="{EBE5C21D-BB0F-44FF-B0D3-A24F746949BA}"/>
    <hyperlink ref="U72" r:id="rId68" location="abstract" xr:uid="{9D3296D2-C31D-43B4-8E04-4FFD0FFDEE69}"/>
    <hyperlink ref="U73" r:id="rId69" xr:uid="{298A98DA-C2FD-471E-9462-94C8EE2A7117}"/>
    <hyperlink ref="U79" r:id="rId70" xr:uid="{19D48DBF-5BD0-4D7F-84CC-431B52D4BE79}"/>
    <hyperlink ref="U80" r:id="rId71" xr:uid="{CD5120BF-5876-4295-B1FD-AB5863029ACF}"/>
    <hyperlink ref="U81" r:id="rId72" xr:uid="{A792EEA1-AC96-4AFE-A7AF-226EA2B31DDB}"/>
    <hyperlink ref="U68" r:id="rId73" xr:uid="{A3B37E80-92E9-4F2A-9E7D-AF8831EB71B6}"/>
    <hyperlink ref="U86" r:id="rId74" xr:uid="{AB3D830C-7ABA-4ADF-B19F-02F342ADAB52}"/>
    <hyperlink ref="U87" r:id="rId75" xr:uid="{E333C811-7220-4CAA-B294-C96B60A3F6A5}"/>
    <hyperlink ref="U99" r:id="rId76" xr:uid="{71513C44-32DB-4D81-9A19-735CF61BDA2E}"/>
    <hyperlink ref="U126" r:id="rId77" xr:uid="{10794FE9-FA77-46C6-A1EB-B7B5FC06E409}"/>
    <hyperlink ref="U127" r:id="rId78" xr:uid="{B17797EF-CC6C-4039-81CA-8E3623AD9E45}"/>
    <hyperlink ref="U128" r:id="rId79" xr:uid="{79673725-FAF0-4C54-A0A1-B322AA2AF6F6}"/>
    <hyperlink ref="U129" r:id="rId80" xr:uid="{B3B48CDC-193C-418A-9C0A-0221A6226334}"/>
    <hyperlink ref="U125" r:id="rId81" xr:uid="{882936AC-102C-41C8-9BD3-21342DE99966}"/>
    <hyperlink ref="U130" r:id="rId82" xr:uid="{EB0723F8-74B1-4418-B686-B037301C71C7}"/>
    <hyperlink ref="U131" r:id="rId83" xr:uid="{7CC5F0E1-6C08-47AB-928B-E67A47AFCCB0}"/>
    <hyperlink ref="U132" r:id="rId84" xr:uid="{32BEDD59-32E8-45B3-9CB0-7DC679D6C2B1}"/>
    <hyperlink ref="U133" r:id="rId85" xr:uid="{A6BCC002-BD2B-4BD0-831D-28DFF14B10D3}"/>
    <hyperlink ref="U134" r:id="rId86" xr:uid="{0B7C25EE-C5E3-489C-96CC-B1F60C067E80}"/>
    <hyperlink ref="U135" r:id="rId87" xr:uid="{FA77A777-7EB9-4EE4-AB3F-2181239E90DA}"/>
    <hyperlink ref="U136" r:id="rId88" xr:uid="{0EBB6D05-6044-427D-90AB-9C65E2ECB3C0}"/>
    <hyperlink ref="U137" r:id="rId89" xr:uid="{90F553E5-31A8-4E71-A323-F5F270BAE400}"/>
  </hyperlinks>
  <pageMargins left="0.7" right="0.7" top="0.75" bottom="0.75" header="0.3" footer="0.3"/>
  <legacyDrawing r:id="rId9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DAE6A-A680-472D-BC54-AC619493AE37}">
  <dimension ref="A1:U46"/>
  <sheetViews>
    <sheetView topLeftCell="A26" workbookViewId="0">
      <selection activeCell="A40" sqref="A40"/>
    </sheetView>
  </sheetViews>
  <sheetFormatPr defaultRowHeight="14.4"/>
  <cols>
    <col min="1" max="1" width="17.26171875" customWidth="1"/>
    <col min="2" max="2" width="21.68359375" bestFit="1" customWidth="1"/>
    <col min="5" max="5" width="8" customWidth="1"/>
    <col min="6" max="6" width="8.41796875" customWidth="1"/>
    <col min="7" max="7" width="14.26171875" customWidth="1"/>
    <col min="8" max="8" width="8.15625" customWidth="1"/>
    <col min="9" max="9" width="15.41796875" customWidth="1"/>
    <col min="10" max="10" width="10.26171875" customWidth="1"/>
    <col min="11" max="11" width="10.15625" customWidth="1"/>
    <col min="16" max="16" width="12.83984375" customWidth="1"/>
    <col min="18" max="18" width="20" customWidth="1"/>
    <col min="19" max="19" width="17.83984375" bestFit="1" customWidth="1"/>
    <col min="20" max="20" width="15.83984375" customWidth="1"/>
  </cols>
  <sheetData>
    <row r="1" spans="1:21" ht="28.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28.8">
      <c r="A2">
        <v>0.04</v>
      </c>
      <c r="B2" t="s">
        <v>884</v>
      </c>
      <c r="C2">
        <v>36</v>
      </c>
      <c r="D2">
        <v>140.22</v>
      </c>
      <c r="E2" t="s">
        <v>47</v>
      </c>
      <c r="F2" s="153" t="s">
        <v>177</v>
      </c>
      <c r="L2">
        <v>1</v>
      </c>
      <c r="M2">
        <v>28</v>
      </c>
      <c r="N2">
        <v>1992</v>
      </c>
      <c r="O2">
        <v>2019</v>
      </c>
      <c r="Q2" s="152" t="s">
        <v>641</v>
      </c>
      <c r="R2" s="10" t="s">
        <v>671</v>
      </c>
      <c r="S2" t="s">
        <v>642</v>
      </c>
      <c r="U2" s="2" t="s">
        <v>643</v>
      </c>
    </row>
    <row r="5" spans="1:21" ht="43.2">
      <c r="A5" s="170" t="s">
        <v>697</v>
      </c>
      <c r="B5" s="16" t="s">
        <v>140</v>
      </c>
    </row>
    <row r="6" spans="1:21">
      <c r="A6" s="146" t="s">
        <v>885</v>
      </c>
      <c r="B6" s="16"/>
    </row>
    <row r="7" spans="1:21">
      <c r="A7" s="145" t="s">
        <v>886</v>
      </c>
    </row>
    <row r="8" spans="1:21">
      <c r="A8" s="146" t="s">
        <v>887</v>
      </c>
    </row>
    <row r="9" spans="1:21">
      <c r="A9" s="146" t="s">
        <v>888</v>
      </c>
    </row>
    <row r="10" spans="1:21">
      <c r="A10" s="146" t="s">
        <v>805</v>
      </c>
    </row>
    <row r="11" spans="1:21">
      <c r="A11" s="146" t="s">
        <v>889</v>
      </c>
    </row>
    <row r="12" spans="1:21">
      <c r="A12" s="146" t="s">
        <v>890</v>
      </c>
    </row>
    <row r="13" spans="1:21">
      <c r="A13" s="146" t="s">
        <v>891</v>
      </c>
    </row>
    <row r="14" spans="1:21">
      <c r="A14" s="146" t="s">
        <v>829</v>
      </c>
    </row>
    <row r="15" spans="1:21">
      <c r="A15" s="146" t="s">
        <v>677</v>
      </c>
    </row>
    <row r="16" spans="1:21">
      <c r="A16" s="146" t="s">
        <v>892</v>
      </c>
    </row>
    <row r="17" spans="1:1">
      <c r="A17" s="147" t="s">
        <v>893</v>
      </c>
    </row>
    <row r="18" spans="1:1">
      <c r="A18" s="174" t="s">
        <v>894</v>
      </c>
    </row>
    <row r="19" spans="1:1">
      <c r="A19" s="174" t="s">
        <v>895</v>
      </c>
    </row>
    <row r="20" spans="1:1">
      <c r="A20" s="146" t="s">
        <v>896</v>
      </c>
    </row>
    <row r="21" spans="1:1">
      <c r="A21" s="146" t="s">
        <v>897</v>
      </c>
    </row>
    <row r="22" spans="1:1">
      <c r="A22" s="148" t="s">
        <v>898</v>
      </c>
    </row>
    <row r="23" spans="1:1">
      <c r="A23" s="174" t="s">
        <v>899</v>
      </c>
    </row>
    <row r="24" spans="1:1">
      <c r="A24" s="146" t="s">
        <v>197</v>
      </c>
    </row>
    <row r="25" spans="1:1">
      <c r="A25" s="146" t="s">
        <v>900</v>
      </c>
    </row>
    <row r="26" spans="1:1">
      <c r="A26" s="174" t="s">
        <v>95</v>
      </c>
    </row>
    <row r="27" spans="1:1">
      <c r="A27" s="146" t="s">
        <v>901</v>
      </c>
    </row>
    <row r="28" spans="1:1">
      <c r="A28" s="174" t="s">
        <v>902</v>
      </c>
    </row>
    <row r="29" spans="1:1">
      <c r="A29" s="174" t="s">
        <v>903</v>
      </c>
    </row>
    <row r="30" spans="1:1">
      <c r="A30" s="174" t="s">
        <v>904</v>
      </c>
    </row>
    <row r="33" spans="1:3">
      <c r="A33" s="150" t="s">
        <v>905</v>
      </c>
    </row>
    <row r="34" spans="1:3">
      <c r="A34" s="149" t="s">
        <v>906</v>
      </c>
    </row>
    <row r="35" spans="1:3">
      <c r="A35" s="151" t="s">
        <v>907</v>
      </c>
    </row>
    <row r="38" spans="1:3">
      <c r="A38" s="144" t="s">
        <v>697</v>
      </c>
      <c r="B38" s="16" t="s">
        <v>908</v>
      </c>
      <c r="C38" t="s">
        <v>909</v>
      </c>
    </row>
    <row r="39" spans="1:3">
      <c r="A39" s="146" t="s">
        <v>677</v>
      </c>
    </row>
    <row r="40" spans="1:3">
      <c r="A40" s="146" t="s">
        <v>910</v>
      </c>
    </row>
    <row r="41" spans="1:3">
      <c r="A41" s="174" t="s">
        <v>911</v>
      </c>
    </row>
    <row r="42" spans="1:3">
      <c r="A42" s="171" t="s">
        <v>912</v>
      </c>
    </row>
    <row r="43" spans="1:3" ht="186.3">
      <c r="A43" s="173" t="s">
        <v>913</v>
      </c>
    </row>
    <row r="46" spans="1:3" ht="43.2">
      <c r="A46" s="172" t="s">
        <v>914</v>
      </c>
    </row>
  </sheetData>
  <dataValidations count="3">
    <dataValidation type="list" allowBlank="1" showInputMessage="1" showErrorMessage="1" sqref="G1" xr:uid="{6835622F-8DA0-4C76-B3B6-0C5C733B4F64}">
      <formula1>"satellite, in situ, modelled, sallite and in situ, modelled and in situ"</formula1>
    </dataValidation>
    <dataValidation type="list" allowBlank="1" showInputMessage="1" showErrorMessage="1" sqref="K1" xr:uid="{2AEA4CDC-DD0B-4D0D-95E6-54CA409F74A0}">
      <formula1>"annual, spring, summer, winter, autumn"</formula1>
    </dataValidation>
    <dataValidation type="list" allowBlank="1" showInputMessage="1" showErrorMessage="1" sqref="E1" xr:uid="{67E1613F-F39F-4926-B464-FC1F288B6F8E}">
      <formula1>"global, country, region, point"</formula1>
    </dataValidation>
  </dataValidations>
  <hyperlinks>
    <hyperlink ref="U2" r:id="rId1" xr:uid="{2EB16A4E-7857-47F9-BB1C-9922C987D01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49FC-C6E7-4028-ABE2-023B1A846244}">
  <dimension ref="A1:W202"/>
  <sheetViews>
    <sheetView zoomScale="70" zoomScaleNormal="70" workbookViewId="0">
      <pane xSplit="1" ySplit="1" topLeftCell="I2" activePane="bottomRight" state="frozen"/>
      <selection pane="topRight"/>
      <selection pane="bottomLeft"/>
      <selection pane="bottomRight" activeCell="R144" sqref="R144"/>
    </sheetView>
  </sheetViews>
  <sheetFormatPr defaultRowHeight="14.4"/>
  <cols>
    <col min="5" max="5" width="14.15625" customWidth="1"/>
    <col min="6" max="6" width="13.578125" customWidth="1"/>
    <col min="7" max="7" width="12.83984375" customWidth="1"/>
    <col min="8" max="8" width="12.68359375" customWidth="1"/>
    <col min="9" max="9" width="13.68359375" customWidth="1"/>
    <col min="10" max="10" width="23" bestFit="1" customWidth="1"/>
    <col min="17" max="17" width="35.26171875" customWidth="1"/>
    <col min="18" max="18" width="26.68359375" bestFit="1" customWidth="1"/>
  </cols>
  <sheetData>
    <row r="1" spans="1:21" ht="4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s="24" customFormat="1">
      <c r="A2" s="24" t="s">
        <v>915</v>
      </c>
      <c r="E2"/>
      <c r="G2"/>
      <c r="P2" s="24" t="s">
        <v>226</v>
      </c>
      <c r="Q2" s="24" t="s">
        <v>916</v>
      </c>
      <c r="R2" s="24" t="s">
        <v>917</v>
      </c>
      <c r="S2" s="24" t="s">
        <v>362</v>
      </c>
      <c r="T2" s="24" t="s">
        <v>918</v>
      </c>
      <c r="U2" s="73"/>
    </row>
    <row r="3" spans="1:21" s="23" customFormat="1">
      <c r="A3" s="23">
        <v>4.4999999999999998E-2</v>
      </c>
      <c r="B3" t="s">
        <v>26</v>
      </c>
      <c r="C3">
        <v>32.112414023568803</v>
      </c>
      <c r="D3" s="9">
        <v>-35.036683801083399</v>
      </c>
      <c r="E3" t="s">
        <v>26</v>
      </c>
      <c r="F3" s="23" t="s">
        <v>431</v>
      </c>
      <c r="G3" t="s">
        <v>62</v>
      </c>
      <c r="H3" s="23" t="s">
        <v>432</v>
      </c>
      <c r="I3" s="23" t="s">
        <v>30</v>
      </c>
      <c r="J3" s="23" t="s">
        <v>40</v>
      </c>
      <c r="K3" s="23" t="s">
        <v>40</v>
      </c>
      <c r="L3" s="23">
        <v>113</v>
      </c>
      <c r="M3" s="23">
        <f>O3-N3</f>
        <v>24</v>
      </c>
      <c r="N3" s="23">
        <v>1985</v>
      </c>
      <c r="O3" s="23">
        <v>2009</v>
      </c>
      <c r="Q3" s="23" t="s">
        <v>433</v>
      </c>
      <c r="R3" s="23" t="s">
        <v>434</v>
      </c>
      <c r="S3" s="23" t="s">
        <v>76</v>
      </c>
      <c r="U3" s="27" t="s">
        <v>435</v>
      </c>
    </row>
    <row r="4" spans="1:21" s="23" customFormat="1">
      <c r="A4" s="23">
        <v>0.11</v>
      </c>
      <c r="B4" s="23" t="s">
        <v>437</v>
      </c>
      <c r="C4" s="23">
        <v>38.117850674153601</v>
      </c>
      <c r="D4" s="23">
        <v>-118.75937390314</v>
      </c>
      <c r="E4" t="s">
        <v>37</v>
      </c>
      <c r="F4" s="23" t="s">
        <v>438</v>
      </c>
      <c r="G4" t="s">
        <v>62</v>
      </c>
      <c r="H4" s="23" t="s">
        <v>439</v>
      </c>
      <c r="I4" s="23" t="s">
        <v>30</v>
      </c>
      <c r="J4" s="8" t="s">
        <v>441</v>
      </c>
      <c r="K4" s="23" t="s">
        <v>31</v>
      </c>
      <c r="L4" s="23">
        <v>6</v>
      </c>
      <c r="M4" s="23">
        <f t="shared" ref="M4:M27" si="0">O4-N4</f>
        <v>16</v>
      </c>
      <c r="N4" s="23">
        <v>1992</v>
      </c>
      <c r="O4" s="23">
        <v>2008</v>
      </c>
      <c r="Q4" s="23" t="s">
        <v>442</v>
      </c>
      <c r="R4" s="23" t="s">
        <v>443</v>
      </c>
      <c r="S4" s="23" t="s">
        <v>76</v>
      </c>
      <c r="U4" s="27" t="s">
        <v>444</v>
      </c>
    </row>
    <row r="5" spans="1:21" s="23" customFormat="1">
      <c r="A5" s="23">
        <v>3.1E-2</v>
      </c>
      <c r="B5" s="23" t="s">
        <v>388</v>
      </c>
      <c r="C5" s="23">
        <v>25.978851923713702</v>
      </c>
      <c r="D5" s="23">
        <v>104.87335312714499</v>
      </c>
      <c r="E5" t="s">
        <v>37</v>
      </c>
      <c r="F5" s="23" t="s">
        <v>372</v>
      </c>
      <c r="G5" s="23" t="s">
        <v>62</v>
      </c>
      <c r="H5" s="23" t="s">
        <v>446</v>
      </c>
      <c r="I5" s="23" t="s">
        <v>30</v>
      </c>
      <c r="J5" s="23" t="s">
        <v>148</v>
      </c>
      <c r="K5" s="23" t="s">
        <v>40</v>
      </c>
      <c r="L5" s="23">
        <v>11</v>
      </c>
      <c r="M5" s="23">
        <f t="shared" si="0"/>
        <v>17</v>
      </c>
      <c r="N5" s="23">
        <v>2001</v>
      </c>
      <c r="O5" s="23">
        <v>2018</v>
      </c>
      <c r="Q5" s="23" t="s">
        <v>919</v>
      </c>
      <c r="R5" s="23" t="s">
        <v>849</v>
      </c>
      <c r="U5" s="27"/>
    </row>
    <row r="6" spans="1:21" s="23" customFormat="1">
      <c r="A6" s="23">
        <v>1E-3</v>
      </c>
      <c r="B6" s="23" t="s">
        <v>388</v>
      </c>
      <c r="C6" s="23">
        <v>25.978851923713702</v>
      </c>
      <c r="D6" s="23">
        <v>104.87335312714499</v>
      </c>
      <c r="E6" t="s">
        <v>37</v>
      </c>
      <c r="F6" s="23" t="s">
        <v>372</v>
      </c>
      <c r="G6" s="23" t="s">
        <v>62</v>
      </c>
      <c r="H6" s="23" t="s">
        <v>446</v>
      </c>
      <c r="I6" s="23" t="s">
        <v>30</v>
      </c>
      <c r="J6" s="23" t="s">
        <v>155</v>
      </c>
      <c r="K6" s="23" t="s">
        <v>40</v>
      </c>
      <c r="L6" s="23">
        <v>11</v>
      </c>
      <c r="M6" s="23">
        <f t="shared" si="0"/>
        <v>17</v>
      </c>
      <c r="N6" s="23">
        <v>2001</v>
      </c>
      <c r="O6" s="23">
        <v>2018</v>
      </c>
      <c r="Q6" s="23" t="s">
        <v>919</v>
      </c>
      <c r="R6" s="23" t="s">
        <v>849</v>
      </c>
      <c r="U6" s="27"/>
    </row>
    <row r="7" spans="1:21" s="23" customFormat="1">
      <c r="A7" s="23">
        <v>4.0000000000000001E-3</v>
      </c>
      <c r="B7" s="23" t="s">
        <v>257</v>
      </c>
      <c r="C7" s="23">
        <v>24.8371023262591</v>
      </c>
      <c r="D7" s="23">
        <v>102.710885587985</v>
      </c>
      <c r="E7" t="s">
        <v>47</v>
      </c>
      <c r="F7" s="23" t="s">
        <v>372</v>
      </c>
      <c r="G7" s="23" t="s">
        <v>62</v>
      </c>
      <c r="H7" s="23" t="s">
        <v>455</v>
      </c>
      <c r="I7" s="23" t="s">
        <v>30</v>
      </c>
      <c r="J7" s="23" t="s">
        <v>148</v>
      </c>
      <c r="K7" s="23" t="s">
        <v>40</v>
      </c>
      <c r="L7" s="23">
        <v>1</v>
      </c>
      <c r="M7" s="23">
        <f t="shared" si="0"/>
        <v>17</v>
      </c>
      <c r="N7" s="23">
        <v>2001</v>
      </c>
      <c r="O7" s="23">
        <v>2018</v>
      </c>
      <c r="Q7" s="23" t="s">
        <v>456</v>
      </c>
      <c r="R7" s="23" t="s">
        <v>264</v>
      </c>
      <c r="T7" s="23" t="s">
        <v>457</v>
      </c>
      <c r="U7" s="27"/>
    </row>
    <row r="8" spans="1:21" s="23" customFormat="1">
      <c r="A8" s="23">
        <v>2.3400000000000001E-2</v>
      </c>
      <c r="B8" s="23" t="s">
        <v>257</v>
      </c>
      <c r="C8" s="23">
        <v>24.8371023262591</v>
      </c>
      <c r="D8" s="23">
        <v>102.710885587985</v>
      </c>
      <c r="E8" t="s">
        <v>47</v>
      </c>
      <c r="F8" s="23" t="s">
        <v>372</v>
      </c>
      <c r="G8" s="23" t="s">
        <v>62</v>
      </c>
      <c r="H8" s="23" t="s">
        <v>455</v>
      </c>
      <c r="I8" s="23" t="s">
        <v>30</v>
      </c>
      <c r="J8" s="23" t="s">
        <v>155</v>
      </c>
      <c r="K8" s="23" t="s">
        <v>40</v>
      </c>
      <c r="L8" s="23">
        <v>1</v>
      </c>
      <c r="M8" s="23">
        <f t="shared" ref="M8:M9" si="1">O8-N8</f>
        <v>17</v>
      </c>
      <c r="N8" s="23">
        <v>2001</v>
      </c>
      <c r="O8" s="23">
        <v>2018</v>
      </c>
      <c r="Q8" s="23" t="s">
        <v>456</v>
      </c>
      <c r="R8" s="23" t="s">
        <v>264</v>
      </c>
      <c r="T8" s="23" t="s">
        <v>457</v>
      </c>
      <c r="U8" s="27"/>
    </row>
    <row r="9" spans="1:21" s="23" customFormat="1">
      <c r="A9" s="23">
        <v>3.1E-2</v>
      </c>
      <c r="B9" s="23" t="s">
        <v>82</v>
      </c>
      <c r="C9" s="23">
        <v>28.5556949485131</v>
      </c>
      <c r="D9" s="23">
        <v>113.17112363609699</v>
      </c>
      <c r="E9" t="s">
        <v>37</v>
      </c>
      <c r="F9" s="23" t="s">
        <v>372</v>
      </c>
      <c r="G9" s="23" t="s">
        <v>62</v>
      </c>
      <c r="H9" s="23" t="s">
        <v>458</v>
      </c>
      <c r="I9" s="23" t="s">
        <v>30</v>
      </c>
      <c r="J9" s="23" t="s">
        <v>40</v>
      </c>
      <c r="K9" s="23" t="s">
        <v>40</v>
      </c>
      <c r="L9" s="23">
        <v>6</v>
      </c>
      <c r="M9" s="23">
        <f t="shared" si="1"/>
        <v>17</v>
      </c>
      <c r="N9" s="23">
        <v>2001</v>
      </c>
      <c r="O9" s="23">
        <v>2018</v>
      </c>
      <c r="P9" s="23" t="s">
        <v>226</v>
      </c>
      <c r="Q9" s="23" t="s">
        <v>459</v>
      </c>
      <c r="R9" s="23" t="s">
        <v>460</v>
      </c>
      <c r="S9" s="23" t="s">
        <v>461</v>
      </c>
      <c r="U9" s="27"/>
    </row>
    <row r="10" spans="1:21" s="23" customFormat="1">
      <c r="A10" s="23">
        <v>3.6999999999999998E-2</v>
      </c>
      <c r="B10" s="23" t="s">
        <v>82</v>
      </c>
      <c r="C10" s="23">
        <v>28.5556949485131</v>
      </c>
      <c r="D10" s="23">
        <v>113.17112363609699</v>
      </c>
      <c r="E10" t="s">
        <v>37</v>
      </c>
      <c r="F10" s="23" t="s">
        <v>850</v>
      </c>
      <c r="G10" s="23" t="s">
        <v>62</v>
      </c>
      <c r="H10" s="23" t="s">
        <v>458</v>
      </c>
      <c r="I10" s="23" t="s">
        <v>30</v>
      </c>
      <c r="J10" s="23" t="s">
        <v>129</v>
      </c>
      <c r="K10" s="23" t="s">
        <v>81</v>
      </c>
      <c r="L10" s="23">
        <v>6</v>
      </c>
      <c r="M10" s="23">
        <f t="shared" si="0"/>
        <v>17</v>
      </c>
      <c r="N10" s="23">
        <v>2001</v>
      </c>
      <c r="O10" s="23">
        <v>2018</v>
      </c>
      <c r="P10" s="23" t="s">
        <v>226</v>
      </c>
      <c r="Q10" s="23" t="s">
        <v>459</v>
      </c>
      <c r="R10" s="23" t="s">
        <v>460</v>
      </c>
      <c r="S10" s="23" t="s">
        <v>461</v>
      </c>
      <c r="U10" s="27"/>
    </row>
    <row r="11" spans="1:21" s="23" customFormat="1">
      <c r="A11" s="23">
        <v>3.1E-2</v>
      </c>
      <c r="B11" s="23" t="s">
        <v>82</v>
      </c>
      <c r="C11" s="23">
        <v>28.5556949485131</v>
      </c>
      <c r="D11" s="23">
        <v>113.17112363609699</v>
      </c>
      <c r="E11" t="s">
        <v>37</v>
      </c>
      <c r="F11" s="23" t="s">
        <v>850</v>
      </c>
      <c r="G11" s="23" t="s">
        <v>62</v>
      </c>
      <c r="H11" s="23" t="s">
        <v>458</v>
      </c>
      <c r="I11" s="23" t="s">
        <v>30</v>
      </c>
      <c r="J11" s="23" t="s">
        <v>129</v>
      </c>
      <c r="K11" s="23" t="s">
        <v>31</v>
      </c>
      <c r="L11" s="23">
        <v>6</v>
      </c>
      <c r="M11" s="23">
        <f t="shared" si="0"/>
        <v>17</v>
      </c>
      <c r="N11" s="23">
        <v>2001</v>
      </c>
      <c r="O11" s="23">
        <v>2018</v>
      </c>
      <c r="P11" s="23" t="s">
        <v>226</v>
      </c>
      <c r="Q11" s="23" t="s">
        <v>459</v>
      </c>
      <c r="R11" s="23" t="s">
        <v>460</v>
      </c>
      <c r="S11" s="23" t="s">
        <v>461</v>
      </c>
      <c r="U11" s="27"/>
    </row>
    <row r="12" spans="1:21" s="23" customFormat="1">
      <c r="A12" s="23">
        <v>0.02</v>
      </c>
      <c r="B12" s="23" t="s">
        <v>82</v>
      </c>
      <c r="C12" s="23">
        <v>28.5556949485131</v>
      </c>
      <c r="D12" s="23">
        <v>113.17112363609699</v>
      </c>
      <c r="E12" t="s">
        <v>37</v>
      </c>
      <c r="F12" s="23" t="s">
        <v>850</v>
      </c>
      <c r="G12" s="23" t="s">
        <v>62</v>
      </c>
      <c r="H12" s="23" t="s">
        <v>458</v>
      </c>
      <c r="I12" s="23" t="s">
        <v>30</v>
      </c>
      <c r="J12" s="23" t="s">
        <v>129</v>
      </c>
      <c r="K12" s="23" t="s">
        <v>80</v>
      </c>
      <c r="L12" s="23">
        <v>6</v>
      </c>
      <c r="M12" s="23">
        <f t="shared" ref="M12:M13" si="2">O12-N12</f>
        <v>17</v>
      </c>
      <c r="N12" s="23">
        <v>2001</v>
      </c>
      <c r="O12" s="23">
        <v>2018</v>
      </c>
      <c r="P12" s="23" t="s">
        <v>226</v>
      </c>
      <c r="Q12" s="23" t="s">
        <v>459</v>
      </c>
      <c r="R12" s="23" t="s">
        <v>460</v>
      </c>
      <c r="S12" s="23" t="s">
        <v>461</v>
      </c>
      <c r="U12" s="27"/>
    </row>
    <row r="13" spans="1:21" s="23" customFormat="1">
      <c r="A13" s="23">
        <v>3.4000000000000002E-2</v>
      </c>
      <c r="B13" s="23" t="s">
        <v>82</v>
      </c>
      <c r="C13" s="23">
        <v>28.5556949485131</v>
      </c>
      <c r="D13" s="23">
        <v>113.17112363609699</v>
      </c>
      <c r="E13" t="s">
        <v>37</v>
      </c>
      <c r="F13" s="23" t="s">
        <v>850</v>
      </c>
      <c r="G13" s="23" t="s">
        <v>62</v>
      </c>
      <c r="H13" s="23" t="s">
        <v>458</v>
      </c>
      <c r="I13" s="23" t="s">
        <v>30</v>
      </c>
      <c r="J13" s="23" t="s">
        <v>129</v>
      </c>
      <c r="K13" s="23" t="s">
        <v>73</v>
      </c>
      <c r="L13" s="23">
        <v>6</v>
      </c>
      <c r="M13" s="23">
        <f t="shared" si="2"/>
        <v>17</v>
      </c>
      <c r="N13" s="23">
        <v>2001</v>
      </c>
      <c r="O13" s="23">
        <v>2018</v>
      </c>
      <c r="P13" s="23" t="s">
        <v>226</v>
      </c>
      <c r="Q13" s="23" t="s">
        <v>459</v>
      </c>
      <c r="R13" s="23" t="s">
        <v>460</v>
      </c>
      <c r="S13" s="23" t="s">
        <v>461</v>
      </c>
      <c r="U13" s="27"/>
    </row>
    <row r="14" spans="1:21" s="23" customFormat="1">
      <c r="A14" s="23">
        <v>3.2000000000000001E-2</v>
      </c>
      <c r="B14" t="s">
        <v>70</v>
      </c>
      <c r="C14">
        <v>31.675255626368699</v>
      </c>
      <c r="D14" s="9">
        <v>87.801174559325503</v>
      </c>
      <c r="E14" t="s">
        <v>37</v>
      </c>
      <c r="F14" s="23" t="s">
        <v>851</v>
      </c>
      <c r="G14" s="23" t="s">
        <v>49</v>
      </c>
      <c r="H14" s="23" t="s">
        <v>583</v>
      </c>
      <c r="I14" s="23" t="s">
        <v>30</v>
      </c>
      <c r="J14" s="23" t="s">
        <v>129</v>
      </c>
      <c r="K14" s="23" t="s">
        <v>31</v>
      </c>
      <c r="L14" s="23">
        <v>81</v>
      </c>
      <c r="M14" s="23">
        <f t="shared" si="0"/>
        <v>38</v>
      </c>
      <c r="N14" s="23">
        <v>1980</v>
      </c>
      <c r="O14" s="23">
        <v>2018</v>
      </c>
      <c r="P14" s="23" t="s">
        <v>226</v>
      </c>
      <c r="Q14" s="23" t="s">
        <v>920</v>
      </c>
      <c r="R14" s="23" t="s">
        <v>816</v>
      </c>
      <c r="S14" s="23" t="s">
        <v>208</v>
      </c>
      <c r="U14" s="27"/>
    </row>
    <row r="15" spans="1:21" s="23" customFormat="1">
      <c r="A15" s="23">
        <v>3.0000000000000001E-3</v>
      </c>
      <c r="B15" s="23" t="s">
        <v>257</v>
      </c>
      <c r="C15" s="23">
        <v>24.8371023262591</v>
      </c>
      <c r="D15" s="23">
        <v>102.710885587985</v>
      </c>
      <c r="E15" t="s">
        <v>47</v>
      </c>
      <c r="F15" s="23" t="s">
        <v>852</v>
      </c>
      <c r="G15" s="23" t="s">
        <v>49</v>
      </c>
      <c r="H15" s="23" t="s">
        <v>464</v>
      </c>
      <c r="I15" s="23" t="s">
        <v>30</v>
      </c>
      <c r="J15" s="23" t="s">
        <v>40</v>
      </c>
      <c r="K15" s="23" t="s">
        <v>40</v>
      </c>
      <c r="L15" s="23">
        <v>1</v>
      </c>
      <c r="M15" s="23">
        <f t="shared" si="0"/>
        <v>114</v>
      </c>
      <c r="N15" s="23">
        <v>1900</v>
      </c>
      <c r="O15" s="23">
        <v>2014</v>
      </c>
      <c r="P15" s="23" t="s">
        <v>387</v>
      </c>
      <c r="Q15" s="5" t="s">
        <v>921</v>
      </c>
      <c r="R15" s="23" t="s">
        <v>466</v>
      </c>
      <c r="T15" s="23" t="s">
        <v>467</v>
      </c>
      <c r="U15" s="27"/>
    </row>
    <row r="16" spans="1:21" s="23" customFormat="1">
      <c r="A16" s="23">
        <v>0.06</v>
      </c>
      <c r="B16" s="23" t="s">
        <v>469</v>
      </c>
      <c r="C16" s="23">
        <v>25.978851923713702</v>
      </c>
      <c r="D16" s="23">
        <v>104.87335312714499</v>
      </c>
      <c r="E16" t="s">
        <v>37</v>
      </c>
      <c r="F16" s="23" t="s">
        <v>470</v>
      </c>
      <c r="G16" s="23" t="s">
        <v>62</v>
      </c>
      <c r="H16" s="23" t="s">
        <v>446</v>
      </c>
      <c r="I16" s="23" t="s">
        <v>30</v>
      </c>
      <c r="J16" s="23" t="s">
        <v>40</v>
      </c>
      <c r="K16" s="23" t="s">
        <v>40</v>
      </c>
      <c r="L16" s="23">
        <v>11</v>
      </c>
      <c r="M16" s="23">
        <f t="shared" si="0"/>
        <v>22</v>
      </c>
      <c r="N16" s="23">
        <v>2001</v>
      </c>
      <c r="O16" s="23">
        <v>2023</v>
      </c>
      <c r="P16" s="23" t="s">
        <v>226</v>
      </c>
      <c r="Q16" s="23" t="s">
        <v>471</v>
      </c>
      <c r="R16" s="23" t="s">
        <v>472</v>
      </c>
      <c r="S16" s="23" t="s">
        <v>461</v>
      </c>
      <c r="U16" s="27" t="s">
        <v>473</v>
      </c>
    </row>
    <row r="17" spans="1:21" s="23" customFormat="1">
      <c r="A17" s="23">
        <v>2.1999999999999999E-2</v>
      </c>
      <c r="B17" s="23" t="s">
        <v>257</v>
      </c>
      <c r="C17" s="23">
        <v>24.8371023262591</v>
      </c>
      <c r="D17" s="23">
        <v>102.710885587985</v>
      </c>
      <c r="E17" t="s">
        <v>47</v>
      </c>
      <c r="F17" s="23" t="s">
        <v>185</v>
      </c>
      <c r="G17" s="23" t="s">
        <v>62</v>
      </c>
      <c r="H17" s="23" t="s">
        <v>476</v>
      </c>
      <c r="I17" s="23" t="s">
        <v>30</v>
      </c>
      <c r="J17" s="23" t="s">
        <v>148</v>
      </c>
      <c r="K17" s="23" t="s">
        <v>40</v>
      </c>
      <c r="L17" s="23">
        <v>1</v>
      </c>
      <c r="M17" s="23">
        <f t="shared" si="0"/>
        <v>17</v>
      </c>
      <c r="N17" s="23">
        <v>2001</v>
      </c>
      <c r="O17" s="23">
        <v>2018</v>
      </c>
      <c r="P17" s="23" t="s">
        <v>226</v>
      </c>
      <c r="Q17" s="23" t="s">
        <v>477</v>
      </c>
      <c r="R17" s="23" t="s">
        <v>478</v>
      </c>
      <c r="S17" s="23" t="s">
        <v>362</v>
      </c>
      <c r="U17" s="23" t="s">
        <v>479</v>
      </c>
    </row>
    <row r="18" spans="1:21" s="23" customFormat="1">
      <c r="A18" s="23">
        <v>2.1000000000000001E-2</v>
      </c>
      <c r="B18" s="23" t="s">
        <v>257</v>
      </c>
      <c r="C18" s="23">
        <v>24.8371023262591</v>
      </c>
      <c r="D18" s="23">
        <v>102.710885587985</v>
      </c>
      <c r="E18" t="s">
        <v>47</v>
      </c>
      <c r="F18" s="23" t="s">
        <v>185</v>
      </c>
      <c r="G18" s="23" t="s">
        <v>62</v>
      </c>
      <c r="H18" s="23" t="s">
        <v>476</v>
      </c>
      <c r="I18" s="23" t="s">
        <v>30</v>
      </c>
      <c r="J18" s="23" t="s">
        <v>155</v>
      </c>
      <c r="K18" s="23" t="s">
        <v>40</v>
      </c>
      <c r="L18" s="23">
        <v>1</v>
      </c>
      <c r="M18" s="23">
        <f t="shared" si="0"/>
        <v>17</v>
      </c>
      <c r="N18" s="23">
        <v>2001</v>
      </c>
      <c r="O18" s="23">
        <v>2018</v>
      </c>
      <c r="P18" s="23" t="s">
        <v>226</v>
      </c>
      <c r="Q18" s="23" t="s">
        <v>477</v>
      </c>
      <c r="R18" s="23" t="s">
        <v>478</v>
      </c>
      <c r="S18" s="23" t="s">
        <v>362</v>
      </c>
      <c r="U18" s="23" t="s">
        <v>479</v>
      </c>
    </row>
    <row r="19" spans="1:21" s="23" customFormat="1">
      <c r="A19" s="23">
        <v>4.2000000000000003E-2</v>
      </c>
      <c r="B19" s="23" t="s">
        <v>388</v>
      </c>
      <c r="C19" s="23">
        <v>25.978851923713702</v>
      </c>
      <c r="D19" s="23">
        <v>104.87335312714499</v>
      </c>
      <c r="E19" t="s">
        <v>37</v>
      </c>
      <c r="F19" s="23" t="s">
        <v>480</v>
      </c>
      <c r="G19" s="23" t="s">
        <v>62</v>
      </c>
      <c r="H19" s="23" t="s">
        <v>390</v>
      </c>
      <c r="I19" s="23" t="s">
        <v>30</v>
      </c>
      <c r="J19" s="23" t="s">
        <v>40</v>
      </c>
      <c r="K19" t="s">
        <v>40</v>
      </c>
      <c r="L19" s="23">
        <v>11</v>
      </c>
      <c r="M19" s="23">
        <v>17</v>
      </c>
      <c r="N19" s="23">
        <v>2001</v>
      </c>
      <c r="O19" s="23">
        <v>2019</v>
      </c>
      <c r="P19" s="23" t="s">
        <v>226</v>
      </c>
      <c r="Q19" s="23" t="s">
        <v>922</v>
      </c>
      <c r="R19" s="23" t="s">
        <v>481</v>
      </c>
      <c r="S19" s="23" t="s">
        <v>393</v>
      </c>
      <c r="U19" s="23" t="s">
        <v>482</v>
      </c>
    </row>
    <row r="20" spans="1:21" s="23" customFormat="1">
      <c r="A20" s="23">
        <v>-1.2E-2</v>
      </c>
      <c r="B20" s="23" t="s">
        <v>483</v>
      </c>
      <c r="C20" s="23">
        <v>12.012765548296599</v>
      </c>
      <c r="D20" s="23">
        <v>37.286467110449998</v>
      </c>
      <c r="E20" t="s">
        <v>47</v>
      </c>
      <c r="F20" s="23" t="s">
        <v>475</v>
      </c>
      <c r="G20" s="23" t="s">
        <v>923</v>
      </c>
      <c r="H20" s="23" t="s">
        <v>485</v>
      </c>
      <c r="I20" s="23" t="s">
        <v>30</v>
      </c>
      <c r="J20" s="23" t="s">
        <v>40</v>
      </c>
      <c r="K20" t="s">
        <v>40</v>
      </c>
      <c r="L20" s="23">
        <v>1</v>
      </c>
      <c r="M20" s="23">
        <f t="shared" ref="M20" si="3">O20-N20</f>
        <v>21</v>
      </c>
      <c r="N20" s="23">
        <v>2001</v>
      </c>
      <c r="O20" s="23">
        <v>2022</v>
      </c>
      <c r="P20" s="23" t="s">
        <v>226</v>
      </c>
      <c r="Q20" s="23" t="s">
        <v>486</v>
      </c>
      <c r="R20" s="23" t="s">
        <v>487</v>
      </c>
      <c r="S20" s="23" t="s">
        <v>55</v>
      </c>
      <c r="U20" s="23" t="s">
        <v>488</v>
      </c>
    </row>
    <row r="21" spans="1:21" s="23" customFormat="1">
      <c r="A21" s="23">
        <v>1E-3</v>
      </c>
      <c r="B21" s="23" t="s">
        <v>483</v>
      </c>
      <c r="C21" s="23">
        <v>12.012765548296599</v>
      </c>
      <c r="D21" s="23">
        <v>37.286467110449998</v>
      </c>
      <c r="E21" t="s">
        <v>47</v>
      </c>
      <c r="F21" s="23" t="s">
        <v>475</v>
      </c>
      <c r="G21" s="23" t="s">
        <v>923</v>
      </c>
      <c r="H21" s="23" t="s">
        <v>485</v>
      </c>
      <c r="I21" s="23" t="s">
        <v>30</v>
      </c>
      <c r="J21" s="23" t="s">
        <v>129</v>
      </c>
      <c r="K21" s="23" t="s">
        <v>490</v>
      </c>
      <c r="L21" s="23">
        <v>1</v>
      </c>
      <c r="M21" s="23">
        <f t="shared" ref="M21:M22" si="4">O21-N21</f>
        <v>21</v>
      </c>
      <c r="N21" s="23">
        <v>2001</v>
      </c>
      <c r="O21" s="23">
        <v>2022</v>
      </c>
      <c r="P21" s="23" t="s">
        <v>226</v>
      </c>
      <c r="Q21" s="23" t="s">
        <v>486</v>
      </c>
      <c r="R21" s="23" t="s">
        <v>487</v>
      </c>
      <c r="S21" s="23" t="s">
        <v>55</v>
      </c>
      <c r="U21" s="23" t="s">
        <v>488</v>
      </c>
    </row>
    <row r="22" spans="1:21" s="23" customFormat="1">
      <c r="A22" s="23">
        <v>-1.2E-2</v>
      </c>
      <c r="B22" s="23" t="s">
        <v>483</v>
      </c>
      <c r="C22" s="23">
        <v>12.012765548296599</v>
      </c>
      <c r="D22" s="23">
        <v>37.286467110449998</v>
      </c>
      <c r="E22" t="s">
        <v>47</v>
      </c>
      <c r="F22" s="23" t="s">
        <v>475</v>
      </c>
      <c r="G22" s="23" t="s">
        <v>923</v>
      </c>
      <c r="H22" s="23" t="s">
        <v>485</v>
      </c>
      <c r="I22" s="23" t="s">
        <v>30</v>
      </c>
      <c r="J22" s="23" t="s">
        <v>129</v>
      </c>
      <c r="K22" t="s">
        <v>491</v>
      </c>
      <c r="L22" s="23">
        <v>1</v>
      </c>
      <c r="M22" s="23">
        <f t="shared" si="4"/>
        <v>21</v>
      </c>
      <c r="N22" s="23">
        <v>2001</v>
      </c>
      <c r="O22" s="23">
        <v>2022</v>
      </c>
      <c r="P22" s="23" t="s">
        <v>226</v>
      </c>
      <c r="Q22" s="23" t="s">
        <v>486</v>
      </c>
      <c r="R22" s="23" t="s">
        <v>487</v>
      </c>
      <c r="S22" s="23" t="s">
        <v>55</v>
      </c>
      <c r="U22" s="23" t="s">
        <v>488</v>
      </c>
    </row>
    <row r="23" spans="1:21" s="23" customFormat="1">
      <c r="A23" s="23">
        <v>-1.6E-2</v>
      </c>
      <c r="B23" s="23" t="s">
        <v>483</v>
      </c>
      <c r="C23" s="23">
        <v>12.012765548296599</v>
      </c>
      <c r="D23" s="23">
        <v>37.286467110449998</v>
      </c>
      <c r="E23" t="s">
        <v>47</v>
      </c>
      <c r="F23" s="23" t="s">
        <v>475</v>
      </c>
      <c r="G23" s="23" t="s">
        <v>923</v>
      </c>
      <c r="H23" s="23" t="s">
        <v>485</v>
      </c>
      <c r="I23" s="23" t="s">
        <v>30</v>
      </c>
      <c r="J23" s="23" t="s">
        <v>129</v>
      </c>
      <c r="K23" t="s">
        <v>492</v>
      </c>
      <c r="L23" s="23">
        <v>1</v>
      </c>
      <c r="M23" s="23">
        <f t="shared" ref="M23" si="5">O23-N23</f>
        <v>21</v>
      </c>
      <c r="N23" s="23">
        <v>2001</v>
      </c>
      <c r="O23" s="23">
        <v>2022</v>
      </c>
      <c r="P23" s="23" t="s">
        <v>226</v>
      </c>
      <c r="Q23" s="23" t="s">
        <v>486</v>
      </c>
      <c r="R23" s="23" t="s">
        <v>487</v>
      </c>
      <c r="S23" s="23" t="s">
        <v>55</v>
      </c>
      <c r="U23" s="23" t="s">
        <v>488</v>
      </c>
    </row>
    <row r="24" spans="1:21" s="23" customFormat="1">
      <c r="A24" s="23">
        <v>-1.2999999999999999E-2</v>
      </c>
      <c r="B24" s="23" t="s">
        <v>483</v>
      </c>
      <c r="C24" s="23">
        <v>12.012765548296599</v>
      </c>
      <c r="D24" s="23">
        <v>37.286467110449998</v>
      </c>
      <c r="E24" t="s">
        <v>47</v>
      </c>
      <c r="F24" s="23" t="s">
        <v>475</v>
      </c>
      <c r="G24" s="23" t="s">
        <v>923</v>
      </c>
      <c r="H24" s="23" t="s">
        <v>485</v>
      </c>
      <c r="I24" s="23" t="s">
        <v>30</v>
      </c>
      <c r="J24" s="23" t="s">
        <v>129</v>
      </c>
      <c r="K24" t="s">
        <v>493</v>
      </c>
      <c r="L24" s="23">
        <v>1</v>
      </c>
      <c r="M24" s="23">
        <f t="shared" si="0"/>
        <v>21</v>
      </c>
      <c r="N24" s="23">
        <v>2001</v>
      </c>
      <c r="O24" s="23">
        <v>2022</v>
      </c>
      <c r="P24" s="23" t="s">
        <v>226</v>
      </c>
      <c r="Q24" s="23" t="s">
        <v>486</v>
      </c>
      <c r="R24" s="23" t="s">
        <v>487</v>
      </c>
      <c r="S24" s="23" t="s">
        <v>55</v>
      </c>
      <c r="U24" s="23" t="s">
        <v>488</v>
      </c>
    </row>
    <row r="25" spans="1:21" s="23" customFormat="1">
      <c r="A25" s="23">
        <v>0.01</v>
      </c>
      <c r="B25" s="23" t="s">
        <v>257</v>
      </c>
      <c r="C25" s="23">
        <v>24.8371023262591</v>
      </c>
      <c r="D25" s="23">
        <v>102.710885587985</v>
      </c>
      <c r="E25" t="s">
        <v>47</v>
      </c>
      <c r="F25" s="23" t="s">
        <v>372</v>
      </c>
      <c r="G25" s="23" t="s">
        <v>62</v>
      </c>
      <c r="H25" s="23" t="s">
        <v>390</v>
      </c>
      <c r="I25" s="23" t="s">
        <v>30</v>
      </c>
      <c r="J25" s="23" t="s">
        <v>148</v>
      </c>
      <c r="K25" s="23" t="s">
        <v>40</v>
      </c>
      <c r="L25" s="23">
        <v>1</v>
      </c>
      <c r="M25" s="23">
        <f t="shared" si="0"/>
        <v>17</v>
      </c>
      <c r="N25" s="23">
        <v>2001</v>
      </c>
      <c r="O25" s="23">
        <v>2018</v>
      </c>
      <c r="P25" s="23" t="s">
        <v>226</v>
      </c>
      <c r="Q25" s="23" t="s">
        <v>924</v>
      </c>
      <c r="R25" s="23" t="s">
        <v>494</v>
      </c>
      <c r="S25" s="23" t="s">
        <v>408</v>
      </c>
      <c r="U25" s="23" t="s">
        <v>495</v>
      </c>
    </row>
    <row r="26" spans="1:21" s="23" customFormat="1">
      <c r="A26" s="23">
        <v>0.02</v>
      </c>
      <c r="B26" s="23" t="s">
        <v>257</v>
      </c>
      <c r="C26" s="23">
        <v>24.8371023262591</v>
      </c>
      <c r="D26" s="23">
        <v>102.710885587985</v>
      </c>
      <c r="E26" t="s">
        <v>47</v>
      </c>
      <c r="F26" s="23" t="s">
        <v>372</v>
      </c>
      <c r="G26" s="23" t="s">
        <v>62</v>
      </c>
      <c r="H26" s="23" t="s">
        <v>390</v>
      </c>
      <c r="I26" s="23" t="s">
        <v>30</v>
      </c>
      <c r="J26" s="23" t="s">
        <v>155</v>
      </c>
      <c r="K26" s="23" t="s">
        <v>40</v>
      </c>
      <c r="L26" s="23">
        <v>1</v>
      </c>
      <c r="M26" s="23">
        <f t="shared" si="0"/>
        <v>17</v>
      </c>
      <c r="N26" s="23">
        <v>2001</v>
      </c>
      <c r="O26" s="23">
        <v>2018</v>
      </c>
      <c r="P26" s="23" t="s">
        <v>226</v>
      </c>
      <c r="Q26" s="23" t="s">
        <v>924</v>
      </c>
      <c r="R26" s="23" t="s">
        <v>494</v>
      </c>
      <c r="S26" s="23" t="s">
        <v>408</v>
      </c>
      <c r="U26" s="23" t="s">
        <v>495</v>
      </c>
    </row>
    <row r="27" spans="1:21" s="23" customFormat="1">
      <c r="A27" s="23">
        <v>1.2999999999999999E-2</v>
      </c>
      <c r="B27" t="s">
        <v>26</v>
      </c>
      <c r="C27">
        <v>32.112414023568803</v>
      </c>
      <c r="D27" s="9">
        <v>-35.036683801083399</v>
      </c>
      <c r="E27" t="s">
        <v>26</v>
      </c>
      <c r="F27" s="23" t="s">
        <v>496</v>
      </c>
      <c r="G27" t="s">
        <v>49</v>
      </c>
      <c r="H27" s="23" t="s">
        <v>853</v>
      </c>
      <c r="I27" s="23" t="s">
        <v>30</v>
      </c>
      <c r="J27" s="23" t="s">
        <v>40</v>
      </c>
      <c r="K27" t="s">
        <v>40</v>
      </c>
      <c r="L27" s="23">
        <v>1260</v>
      </c>
      <c r="M27" s="23">
        <f t="shared" si="0"/>
        <v>43</v>
      </c>
      <c r="N27" s="23">
        <v>1979</v>
      </c>
      <c r="O27" s="23">
        <v>2022</v>
      </c>
      <c r="P27" s="23" t="s">
        <v>226</v>
      </c>
      <c r="Q27" s="5" t="s">
        <v>499</v>
      </c>
      <c r="R27" s="23" t="s">
        <v>500</v>
      </c>
      <c r="S27" s="23" t="s">
        <v>501</v>
      </c>
      <c r="U27" s="23" t="s">
        <v>502</v>
      </c>
    </row>
    <row r="28" spans="1:21" s="23" customFormat="1">
      <c r="A28" s="23">
        <v>2.3E-2</v>
      </c>
      <c r="B28" t="s">
        <v>26</v>
      </c>
      <c r="C28">
        <v>32.112414023568803</v>
      </c>
      <c r="D28" s="9">
        <v>-35.036683801083399</v>
      </c>
      <c r="E28" t="s">
        <v>26</v>
      </c>
      <c r="F28" s="23" t="s">
        <v>496</v>
      </c>
      <c r="G28" t="s">
        <v>49</v>
      </c>
      <c r="H28" s="23" t="s">
        <v>853</v>
      </c>
      <c r="I28" s="23" t="s">
        <v>30</v>
      </c>
      <c r="J28" s="23" t="s">
        <v>40</v>
      </c>
      <c r="K28" t="s">
        <v>31</v>
      </c>
      <c r="L28" s="23">
        <v>1260</v>
      </c>
      <c r="M28" s="23">
        <f t="shared" ref="M28" si="6">O28-N28</f>
        <v>43</v>
      </c>
      <c r="N28" s="23">
        <v>1979</v>
      </c>
      <c r="O28" s="23">
        <v>2022</v>
      </c>
      <c r="P28" s="23" t="s">
        <v>226</v>
      </c>
      <c r="Q28" s="5" t="s">
        <v>499</v>
      </c>
      <c r="R28" s="23" t="s">
        <v>500</v>
      </c>
      <c r="S28" s="23" t="s">
        <v>501</v>
      </c>
      <c r="U28" s="23" t="s">
        <v>502</v>
      </c>
    </row>
    <row r="29" spans="1:21" s="23" customFormat="1">
      <c r="A29" s="23">
        <v>7.0000000000000007E-2</v>
      </c>
      <c r="B29" s="86" t="s">
        <v>506</v>
      </c>
      <c r="C29" s="23">
        <v>29.5973606162494</v>
      </c>
      <c r="D29" s="23">
        <v>118.973221454235</v>
      </c>
      <c r="E29" t="s">
        <v>47</v>
      </c>
      <c r="F29" s="23" t="s">
        <v>854</v>
      </c>
      <c r="G29" t="s">
        <v>923</v>
      </c>
      <c r="H29" s="23" t="s">
        <v>508</v>
      </c>
      <c r="I29" s="23" t="s">
        <v>30</v>
      </c>
      <c r="J29" s="23" t="s">
        <v>40</v>
      </c>
      <c r="K29" t="s">
        <v>40</v>
      </c>
      <c r="L29" s="23">
        <v>1</v>
      </c>
      <c r="M29" s="23">
        <v>36</v>
      </c>
      <c r="N29" s="23">
        <v>1986</v>
      </c>
      <c r="O29" s="23">
        <v>2021</v>
      </c>
      <c r="P29" s="23" t="s">
        <v>226</v>
      </c>
      <c r="Q29" t="s">
        <v>509</v>
      </c>
      <c r="R29" s="23" t="s">
        <v>510</v>
      </c>
      <c r="S29" s="23" t="s">
        <v>376</v>
      </c>
      <c r="U29" s="23" t="s">
        <v>511</v>
      </c>
    </row>
    <row r="30" spans="1:21" s="23" customFormat="1">
      <c r="A30">
        <v>2.5999999999999999E-2</v>
      </c>
      <c r="B30" t="s">
        <v>82</v>
      </c>
      <c r="C30">
        <v>34.3411033236398</v>
      </c>
      <c r="D30" s="9">
        <v>103.52721500615201</v>
      </c>
      <c r="E30" t="s">
        <v>37</v>
      </c>
      <c r="F30" t="s">
        <v>372</v>
      </c>
      <c r="G30" t="s">
        <v>62</v>
      </c>
      <c r="H30" t="s">
        <v>84</v>
      </c>
      <c r="I30" t="s">
        <v>30</v>
      </c>
      <c r="J30" s="23" t="s">
        <v>40</v>
      </c>
      <c r="K30" t="s">
        <v>40</v>
      </c>
      <c r="L30">
        <v>169</v>
      </c>
      <c r="M30">
        <v>15</v>
      </c>
      <c r="N30">
        <v>2001</v>
      </c>
      <c r="O30">
        <v>2016</v>
      </c>
      <c r="P30" s="23" t="s">
        <v>387</v>
      </c>
      <c r="Q30" s="23" t="s">
        <v>925</v>
      </c>
      <c r="R30" s="23" t="s">
        <v>150</v>
      </c>
    </row>
    <row r="31" spans="1:21" s="23" customFormat="1">
      <c r="A31">
        <v>2.1000000000000001E-2</v>
      </c>
      <c r="B31" t="s">
        <v>82</v>
      </c>
      <c r="C31">
        <v>34.3411033236398</v>
      </c>
      <c r="D31" s="9">
        <v>103.52721500615201</v>
      </c>
      <c r="E31" t="s">
        <v>37</v>
      </c>
      <c r="F31" t="s">
        <v>372</v>
      </c>
      <c r="G31" t="s">
        <v>62</v>
      </c>
      <c r="H31" t="s">
        <v>84</v>
      </c>
      <c r="I31" t="s">
        <v>30</v>
      </c>
      <c r="J31" s="23" t="s">
        <v>148</v>
      </c>
      <c r="K31" t="s">
        <v>40</v>
      </c>
      <c r="L31">
        <v>169</v>
      </c>
      <c r="M31">
        <v>15</v>
      </c>
      <c r="N31">
        <v>2001</v>
      </c>
      <c r="O31">
        <v>2016</v>
      </c>
      <c r="P31" s="23" t="s">
        <v>387</v>
      </c>
      <c r="Q31" s="23" t="s">
        <v>925</v>
      </c>
      <c r="R31" s="23" t="s">
        <v>150</v>
      </c>
    </row>
    <row r="32" spans="1:21" s="23" customFormat="1">
      <c r="A32">
        <v>3.1E-2</v>
      </c>
      <c r="B32" t="s">
        <v>82</v>
      </c>
      <c r="C32">
        <v>34.3411033236398</v>
      </c>
      <c r="D32" s="9">
        <v>103.52721500615201</v>
      </c>
      <c r="E32" t="s">
        <v>37</v>
      </c>
      <c r="F32" t="s">
        <v>372</v>
      </c>
      <c r="G32" t="s">
        <v>62</v>
      </c>
      <c r="H32" t="s">
        <v>84</v>
      </c>
      <c r="I32" t="s">
        <v>30</v>
      </c>
      <c r="J32" s="23" t="s">
        <v>155</v>
      </c>
      <c r="K32" t="s">
        <v>40</v>
      </c>
      <c r="L32">
        <v>169</v>
      </c>
      <c r="M32">
        <v>15</v>
      </c>
      <c r="N32">
        <v>2001</v>
      </c>
      <c r="O32">
        <v>2016</v>
      </c>
      <c r="P32" s="23" t="s">
        <v>387</v>
      </c>
      <c r="Q32" s="23" t="s">
        <v>925</v>
      </c>
      <c r="R32" s="23" t="s">
        <v>150</v>
      </c>
    </row>
    <row r="33" spans="1:21" s="23" customFormat="1">
      <c r="A33" s="23">
        <v>5.8000000000000003E-2</v>
      </c>
      <c r="B33" s="23" t="s">
        <v>60</v>
      </c>
      <c r="C33">
        <v>55.689302269141699</v>
      </c>
      <c r="D33" s="9">
        <v>14.8641169214791</v>
      </c>
      <c r="E33" t="s">
        <v>37</v>
      </c>
      <c r="F33" s="23" t="s">
        <v>103</v>
      </c>
      <c r="G33" t="s">
        <v>103</v>
      </c>
      <c r="H33" s="23" t="s">
        <v>390</v>
      </c>
      <c r="I33" s="23" t="s">
        <v>855</v>
      </c>
      <c r="J33" s="23" t="s">
        <v>40</v>
      </c>
      <c r="K33" t="s">
        <v>40</v>
      </c>
      <c r="L33" s="23">
        <v>10</v>
      </c>
      <c r="M33" s="23">
        <v>50</v>
      </c>
      <c r="N33" s="23">
        <v>1966</v>
      </c>
      <c r="O33" s="23">
        <v>2015</v>
      </c>
      <c r="P33" s="23" t="s">
        <v>387</v>
      </c>
      <c r="Q33" s="23" t="s">
        <v>926</v>
      </c>
      <c r="R33" s="23" t="s">
        <v>927</v>
      </c>
    </row>
    <row r="34" spans="1:21" s="23" customFormat="1">
      <c r="A34" s="23">
        <v>0.02</v>
      </c>
      <c r="B34" s="23" t="s">
        <v>257</v>
      </c>
      <c r="C34" s="23">
        <v>24.8371023262591</v>
      </c>
      <c r="D34" s="23">
        <v>102.710885587985</v>
      </c>
      <c r="E34" t="s">
        <v>47</v>
      </c>
      <c r="F34" s="23" t="s">
        <v>513</v>
      </c>
      <c r="G34" t="s">
        <v>62</v>
      </c>
      <c r="H34" s="23" t="s">
        <v>856</v>
      </c>
      <c r="I34" s="23" t="s">
        <v>30</v>
      </c>
      <c r="J34" s="23" t="s">
        <v>40</v>
      </c>
      <c r="K34" t="s">
        <v>40</v>
      </c>
      <c r="L34" s="23">
        <v>1</v>
      </c>
      <c r="M34" s="23">
        <v>18</v>
      </c>
      <c r="N34" s="23">
        <v>2001</v>
      </c>
      <c r="O34" s="23">
        <v>2018</v>
      </c>
      <c r="P34" s="23" t="s">
        <v>387</v>
      </c>
      <c r="Q34" s="23" t="s">
        <v>515</v>
      </c>
      <c r="R34" s="23" t="s">
        <v>516</v>
      </c>
    </row>
    <row r="35" spans="1:21" s="23" customFormat="1">
      <c r="A35" s="85" t="s">
        <v>928</v>
      </c>
      <c r="B35" t="s">
        <v>26</v>
      </c>
      <c r="C35">
        <v>32.112414023568803</v>
      </c>
      <c r="D35" s="9">
        <v>-35.036683801083399</v>
      </c>
      <c r="E35" t="s">
        <v>26</v>
      </c>
      <c r="F35" s="23" t="s">
        <v>929</v>
      </c>
      <c r="G35" t="s">
        <v>923</v>
      </c>
      <c r="H35" s="85"/>
      <c r="I35" s="85"/>
      <c r="J35" s="85"/>
      <c r="K35" s="72"/>
      <c r="L35" s="23">
        <v>258</v>
      </c>
      <c r="M35" s="23">
        <f t="shared" ref="M35:M36" si="7">O35-N35</f>
        <v>14</v>
      </c>
      <c r="N35" s="23">
        <v>1995</v>
      </c>
      <c r="O35" s="23">
        <v>2009</v>
      </c>
      <c r="P35" s="23" t="s">
        <v>387</v>
      </c>
      <c r="Q35" s="23" t="s">
        <v>930</v>
      </c>
      <c r="R35" s="23" t="s">
        <v>931</v>
      </c>
    </row>
    <row r="36" spans="1:21" s="23" customFormat="1">
      <c r="A36" s="23">
        <v>3.6999999999999998E-2</v>
      </c>
      <c r="B36" s="23" t="s">
        <v>36</v>
      </c>
      <c r="C36" s="23">
        <v>53.498880694201802</v>
      </c>
      <c r="D36" s="23">
        <v>18.261777685730799</v>
      </c>
      <c r="E36" t="s">
        <v>37</v>
      </c>
      <c r="F36" s="23" t="s">
        <v>857</v>
      </c>
      <c r="G36" t="s">
        <v>62</v>
      </c>
      <c r="H36" s="23" t="s">
        <v>84</v>
      </c>
      <c r="I36" s="23" t="s">
        <v>30</v>
      </c>
      <c r="J36" s="23" t="s">
        <v>40</v>
      </c>
      <c r="K36" t="s">
        <v>40</v>
      </c>
      <c r="L36" s="23">
        <v>10</v>
      </c>
      <c r="M36" s="23">
        <f t="shared" si="7"/>
        <v>44</v>
      </c>
      <c r="N36" s="23">
        <v>1971</v>
      </c>
      <c r="O36" s="23">
        <v>2015</v>
      </c>
      <c r="P36" s="23" t="s">
        <v>387</v>
      </c>
      <c r="Q36" s="23" t="s">
        <v>518</v>
      </c>
      <c r="R36" s="23" t="s">
        <v>519</v>
      </c>
    </row>
    <row r="37" spans="1:21" s="23" customFormat="1">
      <c r="A37" s="23">
        <v>0.12</v>
      </c>
      <c r="B37" s="23" t="s">
        <v>257</v>
      </c>
      <c r="C37" s="23">
        <v>24.8371023262591</v>
      </c>
      <c r="D37" s="23">
        <v>102.710885587985</v>
      </c>
      <c r="E37" t="s">
        <v>47</v>
      </c>
      <c r="F37" s="23" t="s">
        <v>513</v>
      </c>
      <c r="G37" t="s">
        <v>62</v>
      </c>
      <c r="H37" s="85"/>
      <c r="I37" s="23" t="s">
        <v>30</v>
      </c>
      <c r="J37" s="23" t="s">
        <v>148</v>
      </c>
      <c r="K37" t="s">
        <v>40</v>
      </c>
      <c r="L37" s="23">
        <v>1</v>
      </c>
      <c r="M37" s="23">
        <v>17</v>
      </c>
      <c r="N37" s="23">
        <v>2001</v>
      </c>
      <c r="O37" s="23">
        <v>2017</v>
      </c>
      <c r="P37" s="23" t="s">
        <v>387</v>
      </c>
      <c r="Q37" s="23" t="s">
        <v>525</v>
      </c>
      <c r="R37" s="23" t="s">
        <v>522</v>
      </c>
    </row>
    <row r="38" spans="1:21" s="23" customFormat="1">
      <c r="A38" s="23">
        <v>0.09</v>
      </c>
      <c r="B38" s="23" t="s">
        <v>257</v>
      </c>
      <c r="C38" s="23">
        <v>24.8371023262591</v>
      </c>
      <c r="D38" s="23">
        <v>102.710885587985</v>
      </c>
      <c r="E38" t="s">
        <v>47</v>
      </c>
      <c r="F38" s="23" t="s">
        <v>513</v>
      </c>
      <c r="G38" t="s">
        <v>62</v>
      </c>
      <c r="H38" s="85"/>
      <c r="I38" s="23" t="s">
        <v>30</v>
      </c>
      <c r="J38" s="23" t="s">
        <v>155</v>
      </c>
      <c r="K38" t="s">
        <v>40</v>
      </c>
      <c r="L38" s="23">
        <v>1</v>
      </c>
      <c r="M38" s="23">
        <v>17</v>
      </c>
      <c r="N38" s="23">
        <v>2001</v>
      </c>
      <c r="O38" s="23">
        <v>2017</v>
      </c>
      <c r="P38" s="23" t="s">
        <v>387</v>
      </c>
      <c r="Q38" s="23" t="s">
        <v>525</v>
      </c>
      <c r="R38" s="23" t="s">
        <v>522</v>
      </c>
    </row>
    <row r="39" spans="1:21" s="23" customFormat="1">
      <c r="A39">
        <v>3.3099999999999997E-2</v>
      </c>
      <c r="B39" t="s">
        <v>526</v>
      </c>
      <c r="C39">
        <v>32.112414023568803</v>
      </c>
      <c r="D39" s="9">
        <v>-35.036683801083399</v>
      </c>
      <c r="E39" t="s">
        <v>37</v>
      </c>
      <c r="F39" s="23" t="s">
        <v>527</v>
      </c>
      <c r="G39" t="s">
        <v>62</v>
      </c>
      <c r="H39" s="23" t="s">
        <v>528</v>
      </c>
      <c r="I39" s="23" t="s">
        <v>30</v>
      </c>
      <c r="J39" s="23" t="s">
        <v>40</v>
      </c>
      <c r="K39" t="s">
        <v>40</v>
      </c>
      <c r="L39" s="23">
        <v>10</v>
      </c>
      <c r="M39" s="23">
        <f t="shared" ref="M39:M42" si="8">O39-N39</f>
        <v>17</v>
      </c>
      <c r="N39" s="23">
        <v>2003</v>
      </c>
      <c r="O39" s="23">
        <v>2020</v>
      </c>
      <c r="P39" s="23" t="s">
        <v>387</v>
      </c>
      <c r="Q39" s="23" t="s">
        <v>529</v>
      </c>
      <c r="R39" s="23" t="s">
        <v>530</v>
      </c>
      <c r="T39" s="23" t="s">
        <v>531</v>
      </c>
    </row>
    <row r="40" spans="1:21" s="23" customFormat="1">
      <c r="A40">
        <v>3.8800000000000001E-2</v>
      </c>
      <c r="B40" t="s">
        <v>526</v>
      </c>
      <c r="C40">
        <v>32.112414023568803</v>
      </c>
      <c r="D40" s="9">
        <v>-35.036683801083399</v>
      </c>
      <c r="E40" t="s">
        <v>37</v>
      </c>
      <c r="F40" s="23" t="s">
        <v>532</v>
      </c>
      <c r="G40" t="s">
        <v>62</v>
      </c>
      <c r="H40" s="23" t="s">
        <v>533</v>
      </c>
      <c r="I40" s="23" t="s">
        <v>30</v>
      </c>
      <c r="J40" s="23" t="s">
        <v>40</v>
      </c>
      <c r="K40" t="s">
        <v>40</v>
      </c>
      <c r="L40" s="23">
        <v>10</v>
      </c>
      <c r="M40" s="23">
        <f t="shared" si="8"/>
        <v>17</v>
      </c>
      <c r="N40" s="23">
        <v>2003</v>
      </c>
      <c r="O40" s="23">
        <v>2020</v>
      </c>
      <c r="P40" s="23" t="s">
        <v>387</v>
      </c>
      <c r="Q40" s="23" t="s">
        <v>529</v>
      </c>
      <c r="R40" s="23" t="s">
        <v>530</v>
      </c>
      <c r="T40" s="23" t="s">
        <v>531</v>
      </c>
    </row>
    <row r="41" spans="1:21" s="23" customFormat="1">
      <c r="A41" s="23">
        <v>3.5000000000000003E-2</v>
      </c>
      <c r="B41" s="23" t="s">
        <v>60</v>
      </c>
      <c r="C41">
        <v>55.689302269141699</v>
      </c>
      <c r="D41" s="9">
        <v>14.8641169214791</v>
      </c>
      <c r="E41" t="s">
        <v>37</v>
      </c>
      <c r="F41" s="23" t="s">
        <v>858</v>
      </c>
      <c r="G41" t="s">
        <v>49</v>
      </c>
      <c r="H41" s="23" t="s">
        <v>534</v>
      </c>
      <c r="I41" s="23" t="s">
        <v>859</v>
      </c>
      <c r="J41" s="23" t="s">
        <v>40</v>
      </c>
      <c r="K41" t="s">
        <v>40</v>
      </c>
      <c r="L41" s="23">
        <v>8</v>
      </c>
      <c r="M41" s="23">
        <f t="shared" si="8"/>
        <v>41</v>
      </c>
      <c r="N41" s="23">
        <v>1973</v>
      </c>
      <c r="O41" s="23">
        <v>2014</v>
      </c>
      <c r="P41" s="23" t="s">
        <v>387</v>
      </c>
      <c r="Q41" s="23" t="s">
        <v>535</v>
      </c>
      <c r="R41" s="23" t="s">
        <v>813</v>
      </c>
    </row>
    <row r="42" spans="1:21" s="23" customFormat="1">
      <c r="A42">
        <v>3.2000000000000001E-2</v>
      </c>
      <c r="B42" s="23" t="s">
        <v>60</v>
      </c>
      <c r="C42">
        <v>55.689302269141699</v>
      </c>
      <c r="D42" s="9">
        <v>14.8641169214791</v>
      </c>
      <c r="E42" t="s">
        <v>37</v>
      </c>
      <c r="F42" s="23" t="s">
        <v>858</v>
      </c>
      <c r="G42" t="s">
        <v>49</v>
      </c>
      <c r="H42" s="23" t="s">
        <v>534</v>
      </c>
      <c r="I42" s="23" t="s">
        <v>859</v>
      </c>
      <c r="J42" s="23" t="s">
        <v>129</v>
      </c>
      <c r="K42" t="s">
        <v>31</v>
      </c>
      <c r="L42" s="23">
        <v>8</v>
      </c>
      <c r="M42" s="23">
        <f t="shared" si="8"/>
        <v>41</v>
      </c>
      <c r="N42" s="23">
        <v>1973</v>
      </c>
      <c r="O42" s="23">
        <v>2014</v>
      </c>
      <c r="P42" s="23" t="s">
        <v>387</v>
      </c>
      <c r="Q42" s="23" t="s">
        <v>535</v>
      </c>
      <c r="R42" s="23" t="s">
        <v>813</v>
      </c>
    </row>
    <row r="43" spans="1:21">
      <c r="A43" s="1"/>
      <c r="B43" s="1"/>
      <c r="C43" s="1"/>
      <c r="D43" s="1"/>
      <c r="E43" s="1"/>
      <c r="F43" s="1"/>
      <c r="G43" s="1"/>
      <c r="H43" s="1"/>
      <c r="I43" s="1"/>
      <c r="J43" s="1"/>
      <c r="K43" s="1"/>
      <c r="L43" s="1"/>
      <c r="M43" s="1"/>
      <c r="N43" s="1"/>
      <c r="O43" s="1"/>
      <c r="P43" s="1"/>
      <c r="Q43" s="1"/>
      <c r="R43" s="1"/>
      <c r="S43" s="1"/>
      <c r="T43" s="1"/>
      <c r="U43" s="1"/>
    </row>
    <row r="44" spans="1:21">
      <c r="A44" s="1"/>
      <c r="B44" s="1"/>
      <c r="C44" s="1"/>
      <c r="D44" s="1"/>
      <c r="F44" s="1"/>
      <c r="G44" s="1"/>
      <c r="I44" s="1"/>
      <c r="J44" s="1"/>
      <c r="K44" s="1"/>
      <c r="M44" s="1"/>
      <c r="N44" s="1"/>
      <c r="O44" s="1"/>
      <c r="P44" s="1"/>
      <c r="Q44" s="1"/>
      <c r="R44" s="1"/>
      <c r="S44" s="1"/>
      <c r="T44" s="1"/>
      <c r="U44" s="1"/>
    </row>
    <row r="45" spans="1:21">
      <c r="A45" s="1"/>
      <c r="B45" s="1"/>
      <c r="C45" s="1"/>
      <c r="D45" s="1"/>
      <c r="E45" s="1"/>
      <c r="F45" s="1"/>
      <c r="G45" s="1"/>
      <c r="H45" s="1"/>
      <c r="I45" s="1"/>
      <c r="J45" s="1"/>
      <c r="K45" s="1"/>
      <c r="L45" s="1"/>
      <c r="M45" s="1"/>
      <c r="N45" s="1"/>
      <c r="O45" s="1"/>
      <c r="P45" s="1"/>
      <c r="Q45" s="1"/>
      <c r="R45" s="1"/>
      <c r="S45" s="1"/>
      <c r="T45" s="1"/>
      <c r="U45" s="1"/>
    </row>
    <row r="46" spans="1:21">
      <c r="A46" s="1"/>
      <c r="B46" s="1"/>
      <c r="C46" s="1"/>
      <c r="D46" s="1"/>
      <c r="E46" s="1"/>
      <c r="F46" s="1"/>
      <c r="G46" s="1"/>
      <c r="H46" s="1"/>
      <c r="I46" s="1"/>
      <c r="J46" s="1"/>
      <c r="K46" s="1"/>
      <c r="L46" s="1"/>
      <c r="M46" s="1"/>
      <c r="N46" s="1"/>
      <c r="O46" s="1"/>
      <c r="P46" s="1"/>
      <c r="Q46" s="1"/>
      <c r="R46" s="1"/>
      <c r="S46" s="1"/>
      <c r="T46" s="1"/>
      <c r="U46" s="1"/>
    </row>
    <row r="47" spans="1:21" s="76" customFormat="1" ht="28.8">
      <c r="A47" s="75" t="s">
        <v>932</v>
      </c>
      <c r="B47" s="75"/>
      <c r="C47" s="75"/>
      <c r="D47" s="75"/>
      <c r="E47" s="75"/>
      <c r="F47" s="75"/>
      <c r="G47" s="75"/>
      <c r="H47" s="75"/>
      <c r="I47" s="75"/>
      <c r="J47" s="75"/>
      <c r="K47" s="75"/>
      <c r="L47" s="75"/>
      <c r="M47" s="75"/>
      <c r="N47" s="75"/>
      <c r="O47" s="75"/>
      <c r="P47" s="75"/>
      <c r="Q47" s="75"/>
      <c r="R47" s="75"/>
      <c r="S47" s="75"/>
      <c r="T47" s="75"/>
      <c r="U47" s="75"/>
    </row>
    <row r="48" spans="1:21" s="16" customFormat="1">
      <c r="B48" s="16" t="s">
        <v>789</v>
      </c>
      <c r="F48" s="16" t="s">
        <v>790</v>
      </c>
      <c r="L48" s="16">
        <v>442</v>
      </c>
      <c r="N48" s="16">
        <v>1999</v>
      </c>
      <c r="O48" s="16">
        <v>2016</v>
      </c>
      <c r="Q48" s="16" t="s">
        <v>933</v>
      </c>
      <c r="R48" s="16" t="s">
        <v>792</v>
      </c>
      <c r="S48" s="16" t="s">
        <v>793</v>
      </c>
      <c r="T48" s="16" t="s">
        <v>794</v>
      </c>
      <c r="U48" s="74" t="s">
        <v>795</v>
      </c>
    </row>
    <row r="49" spans="1:23" s="16" customFormat="1">
      <c r="R49" s="16" t="s">
        <v>934</v>
      </c>
      <c r="T49" s="16" t="s">
        <v>935</v>
      </c>
      <c r="U49" s="74"/>
    </row>
    <row r="50" spans="1:23" s="16" customFormat="1">
      <c r="B50" s="16" t="s">
        <v>257</v>
      </c>
      <c r="C50" s="16">
        <v>24.8371023262591</v>
      </c>
      <c r="D50" s="16">
        <v>102.710885587985</v>
      </c>
      <c r="N50" s="16" t="s">
        <v>936</v>
      </c>
      <c r="O50" s="16">
        <v>2016</v>
      </c>
      <c r="Q50" s="16" t="s">
        <v>937</v>
      </c>
      <c r="R50" s="16" t="s">
        <v>938</v>
      </c>
      <c r="U50" s="74" t="s">
        <v>939</v>
      </c>
    </row>
    <row r="51" spans="1:23" s="16" customFormat="1">
      <c r="B51" s="16" t="s">
        <v>388</v>
      </c>
      <c r="C51" s="16">
        <v>25.978851923713702</v>
      </c>
      <c r="D51" s="16">
        <v>104.87335312714499</v>
      </c>
      <c r="E51" s="16" t="s">
        <v>940</v>
      </c>
      <c r="F51" s="16" t="s">
        <v>372</v>
      </c>
      <c r="L51" s="16">
        <v>11</v>
      </c>
      <c r="N51" s="16">
        <v>2001</v>
      </c>
      <c r="O51" s="16">
        <v>2017</v>
      </c>
      <c r="P51" s="16" t="s">
        <v>941</v>
      </c>
      <c r="Q51" s="16" t="s">
        <v>591</v>
      </c>
      <c r="R51" s="16" t="s">
        <v>942</v>
      </c>
      <c r="S51" s="16" t="s">
        <v>229</v>
      </c>
      <c r="T51" s="16" t="s">
        <v>943</v>
      </c>
      <c r="U51" s="74" t="s">
        <v>944</v>
      </c>
    </row>
    <row r="52" spans="1:23" s="16" customFormat="1">
      <c r="L52" s="16">
        <v>1</v>
      </c>
      <c r="M52" s="16">
        <v>18</v>
      </c>
      <c r="N52" s="16">
        <v>2001</v>
      </c>
      <c r="O52" s="16">
        <v>2018</v>
      </c>
      <c r="Q52" s="16" t="s">
        <v>945</v>
      </c>
      <c r="R52" s="16" t="s">
        <v>516</v>
      </c>
      <c r="U52" s="74"/>
    </row>
    <row r="53" spans="1:23" s="16" customFormat="1">
      <c r="B53" s="16" t="s">
        <v>946</v>
      </c>
      <c r="F53" s="16" t="s">
        <v>947</v>
      </c>
      <c r="L53" s="16">
        <v>5</v>
      </c>
      <c r="N53" s="16">
        <v>2017</v>
      </c>
      <c r="O53" s="16">
        <v>2022</v>
      </c>
      <c r="P53" s="16" t="s">
        <v>226</v>
      </c>
      <c r="Q53" s="16" t="s">
        <v>948</v>
      </c>
      <c r="R53" s="16" t="s">
        <v>949</v>
      </c>
      <c r="S53" s="16" t="s">
        <v>322</v>
      </c>
      <c r="T53" s="16" t="s">
        <v>950</v>
      </c>
      <c r="U53" s="16" t="s">
        <v>951</v>
      </c>
    </row>
    <row r="54" spans="1:23" s="16" customFormat="1">
      <c r="B54" s="16" t="s">
        <v>952</v>
      </c>
      <c r="L54" s="16">
        <v>364</v>
      </c>
      <c r="N54" s="16">
        <v>2001</v>
      </c>
      <c r="O54" s="16">
        <v>2015</v>
      </c>
      <c r="P54" s="16" t="s">
        <v>226</v>
      </c>
      <c r="Q54" s="16" t="s">
        <v>953</v>
      </c>
      <c r="R54" s="16" t="s">
        <v>954</v>
      </c>
      <c r="S54" s="16" t="s">
        <v>955</v>
      </c>
      <c r="U54" s="16" t="s">
        <v>956</v>
      </c>
    </row>
    <row r="55" spans="1:23" s="16" customFormat="1">
      <c r="P55" s="16" t="s">
        <v>226</v>
      </c>
      <c r="Q55" s="16" t="s">
        <v>957</v>
      </c>
      <c r="R55" s="16" t="s">
        <v>958</v>
      </c>
      <c r="S55" s="16" t="s">
        <v>959</v>
      </c>
      <c r="T55" s="16" t="s">
        <v>960</v>
      </c>
      <c r="U55" s="16" t="s">
        <v>961</v>
      </c>
    </row>
    <row r="56" spans="1:23" s="16" customFormat="1">
      <c r="B56" s="16" t="s">
        <v>962</v>
      </c>
      <c r="L56" s="16">
        <v>1</v>
      </c>
      <c r="N56" s="16">
        <v>1981</v>
      </c>
      <c r="O56" s="16" t="s">
        <v>963</v>
      </c>
      <c r="P56" s="16" t="s">
        <v>226</v>
      </c>
      <c r="Q56" s="16" t="s">
        <v>964</v>
      </c>
      <c r="R56" s="16" t="s">
        <v>965</v>
      </c>
      <c r="S56" s="16" t="s">
        <v>301</v>
      </c>
      <c r="U56" s="16" t="s">
        <v>966</v>
      </c>
    </row>
    <row r="57" spans="1:23" s="16" customFormat="1">
      <c r="E57" s="16" t="s">
        <v>940</v>
      </c>
      <c r="F57" s="16" t="s">
        <v>967</v>
      </c>
      <c r="L57" s="16">
        <v>606</v>
      </c>
      <c r="P57" s="16" t="s">
        <v>226</v>
      </c>
      <c r="Q57" s="16" t="s">
        <v>968</v>
      </c>
      <c r="R57" s="16" t="s">
        <v>969</v>
      </c>
      <c r="S57" s="16" t="s">
        <v>180</v>
      </c>
      <c r="U57" s="16" t="s">
        <v>970</v>
      </c>
    </row>
    <row r="58" spans="1:23" s="16" customFormat="1">
      <c r="B58" s="16" t="s">
        <v>595</v>
      </c>
      <c r="E58" s="16" t="s">
        <v>940</v>
      </c>
      <c r="F58" s="16" t="s">
        <v>185</v>
      </c>
      <c r="H58" s="16" t="s">
        <v>458</v>
      </c>
      <c r="L58" s="16">
        <v>7</v>
      </c>
      <c r="M58" s="16">
        <v>20</v>
      </c>
      <c r="N58" s="16">
        <v>2000</v>
      </c>
      <c r="O58" s="16">
        <v>2020</v>
      </c>
      <c r="P58" s="16" t="s">
        <v>226</v>
      </c>
      <c r="Q58" s="16" t="s">
        <v>971</v>
      </c>
      <c r="R58" s="16" t="s">
        <v>972</v>
      </c>
      <c r="S58" s="16" t="s">
        <v>362</v>
      </c>
      <c r="T58" s="16" t="s">
        <v>973</v>
      </c>
      <c r="U58" s="16" t="s">
        <v>974</v>
      </c>
    </row>
    <row r="59" spans="1:23">
      <c r="Q59" s="4"/>
      <c r="R59" s="9"/>
    </row>
    <row r="60" spans="1:23">
      <c r="B60" s="13" t="s">
        <v>975</v>
      </c>
      <c r="C60" s="13" t="s">
        <v>976</v>
      </c>
      <c r="D60" s="13" t="s">
        <v>977</v>
      </c>
      <c r="E60" s="13" t="s">
        <v>978</v>
      </c>
      <c r="F60" s="13" t="s">
        <v>979</v>
      </c>
      <c r="G60" s="13"/>
      <c r="I60" s="13"/>
      <c r="J60" s="13"/>
      <c r="K60" s="13"/>
      <c r="M60" s="13"/>
      <c r="N60" s="13"/>
      <c r="O60" s="13"/>
      <c r="P60" s="13" t="s">
        <v>980</v>
      </c>
      <c r="Q60" s="1" t="s">
        <v>16</v>
      </c>
      <c r="R60" s="1" t="s">
        <v>17</v>
      </c>
      <c r="S60" s="13" t="s">
        <v>981</v>
      </c>
      <c r="U60" s="13" t="s">
        <v>982</v>
      </c>
      <c r="V60" s="13" t="s">
        <v>983</v>
      </c>
    </row>
    <row r="61" spans="1:23" s="16" customFormat="1">
      <c r="A61" s="16">
        <v>1</v>
      </c>
      <c r="B61" s="16" t="s">
        <v>984</v>
      </c>
      <c r="C61" s="16" t="s">
        <v>985</v>
      </c>
      <c r="D61" s="16" t="s">
        <v>986</v>
      </c>
      <c r="E61" s="16" t="s">
        <v>987</v>
      </c>
      <c r="F61" s="16">
        <v>2025</v>
      </c>
      <c r="P61" s="16" t="s">
        <v>226</v>
      </c>
      <c r="Q61" s="17" t="s">
        <v>988</v>
      </c>
      <c r="R61" s="16" t="s">
        <v>124</v>
      </c>
      <c r="S61" s="16" t="s">
        <v>881</v>
      </c>
      <c r="U61" s="16" t="s">
        <v>989</v>
      </c>
      <c r="V61" s="16" t="s">
        <v>990</v>
      </c>
    </row>
    <row r="62" spans="1:23" s="16" customFormat="1">
      <c r="A62" s="16">
        <v>2</v>
      </c>
      <c r="B62" s="16" t="s">
        <v>991</v>
      </c>
      <c r="C62" s="16" t="s">
        <v>992</v>
      </c>
      <c r="D62" s="16" t="s">
        <v>993</v>
      </c>
      <c r="E62" s="16" t="s">
        <v>994</v>
      </c>
      <c r="F62" s="16">
        <v>2018</v>
      </c>
      <c r="P62" s="16" t="s">
        <v>226</v>
      </c>
      <c r="Q62" s="17" t="s">
        <v>995</v>
      </c>
      <c r="R62" s="16" t="s">
        <v>65</v>
      </c>
      <c r="S62" s="16" t="s">
        <v>172</v>
      </c>
      <c r="U62" s="16" t="s">
        <v>996</v>
      </c>
      <c r="V62" s="16" t="s">
        <v>990</v>
      </c>
    </row>
    <row r="63" spans="1:23">
      <c r="A63">
        <v>3</v>
      </c>
      <c r="B63" t="s">
        <v>997</v>
      </c>
      <c r="C63" t="s">
        <v>998</v>
      </c>
      <c r="D63" t="s">
        <v>999</v>
      </c>
      <c r="E63" t="s">
        <v>1000</v>
      </c>
      <c r="F63">
        <v>2017</v>
      </c>
      <c r="P63" t="s">
        <v>226</v>
      </c>
      <c r="Q63" s="14" t="s">
        <v>1001</v>
      </c>
      <c r="R63" t="s">
        <v>934</v>
      </c>
      <c r="S63" t="s">
        <v>1000</v>
      </c>
      <c r="U63" s="2" t="s">
        <v>1002</v>
      </c>
      <c r="V63" t="s">
        <v>990</v>
      </c>
      <c r="W63" t="s">
        <v>935</v>
      </c>
    </row>
    <row r="64" spans="1:23" s="18" customFormat="1">
      <c r="A64" s="18">
        <v>4</v>
      </c>
      <c r="B64" s="18" t="s">
        <v>1003</v>
      </c>
      <c r="C64" s="18" t="s">
        <v>1004</v>
      </c>
      <c r="D64" s="18" t="s">
        <v>1005</v>
      </c>
      <c r="E64" s="18" t="s">
        <v>1006</v>
      </c>
      <c r="F64" s="18">
        <v>2022</v>
      </c>
      <c r="P64" s="18" t="s">
        <v>226</v>
      </c>
      <c r="Q64" s="17" t="s">
        <v>1007</v>
      </c>
      <c r="R64" s="18" t="s">
        <v>264</v>
      </c>
      <c r="S64" s="18" t="s">
        <v>55</v>
      </c>
      <c r="U64" s="18" t="s">
        <v>1008</v>
      </c>
      <c r="V64" s="18" t="s">
        <v>990</v>
      </c>
    </row>
    <row r="65" spans="1:22" s="18" customFormat="1">
      <c r="A65" s="18">
        <v>5</v>
      </c>
      <c r="B65" s="18" t="s">
        <v>1009</v>
      </c>
      <c r="C65" s="18" t="s">
        <v>1010</v>
      </c>
      <c r="D65" s="18" t="s">
        <v>1011</v>
      </c>
      <c r="E65" s="18" t="s">
        <v>1012</v>
      </c>
      <c r="F65" s="18">
        <v>2020</v>
      </c>
      <c r="P65" s="18" t="s">
        <v>226</v>
      </c>
      <c r="Q65" s="17" t="s">
        <v>1013</v>
      </c>
      <c r="R65" s="18" t="s">
        <v>849</v>
      </c>
      <c r="S65" s="18" t="s">
        <v>450</v>
      </c>
      <c r="U65" s="18" t="s">
        <v>1014</v>
      </c>
      <c r="V65" s="18" t="s">
        <v>990</v>
      </c>
    </row>
    <row r="66" spans="1:22" s="18" customFormat="1">
      <c r="A66" s="18">
        <v>6</v>
      </c>
      <c r="B66" s="18" t="s">
        <v>1015</v>
      </c>
      <c r="C66" s="18" t="s">
        <v>1016</v>
      </c>
      <c r="D66" s="18" t="s">
        <v>1017</v>
      </c>
      <c r="E66" s="18" t="s">
        <v>1018</v>
      </c>
      <c r="F66" s="18">
        <v>2019</v>
      </c>
      <c r="P66" s="18" t="s">
        <v>226</v>
      </c>
      <c r="Q66" s="17" t="s">
        <v>1019</v>
      </c>
      <c r="R66" s="18" t="s">
        <v>942</v>
      </c>
      <c r="S66" s="18" t="s">
        <v>229</v>
      </c>
      <c r="U66" s="18" t="s">
        <v>1020</v>
      </c>
      <c r="V66" s="18" t="s">
        <v>990</v>
      </c>
    </row>
    <row r="67" spans="1:22" s="18" customFormat="1">
      <c r="A67" s="18">
        <v>7</v>
      </c>
      <c r="B67" s="18" t="s">
        <v>1021</v>
      </c>
      <c r="C67" s="18" t="s">
        <v>1022</v>
      </c>
      <c r="D67" s="18" t="s">
        <v>1023</v>
      </c>
      <c r="E67" s="18" t="s">
        <v>1024</v>
      </c>
      <c r="F67" s="18">
        <v>2022</v>
      </c>
      <c r="P67" s="18" t="s">
        <v>226</v>
      </c>
      <c r="Q67" s="17" t="s">
        <v>1025</v>
      </c>
      <c r="R67" s="18" t="s">
        <v>460</v>
      </c>
      <c r="S67" s="18" t="s">
        <v>461</v>
      </c>
      <c r="U67" s="18" t="s">
        <v>1026</v>
      </c>
      <c r="V67" s="18" t="s">
        <v>990</v>
      </c>
    </row>
    <row r="68" spans="1:22" s="26" customFormat="1">
      <c r="A68" s="26">
        <v>8</v>
      </c>
      <c r="B68" s="26" t="s">
        <v>1027</v>
      </c>
      <c r="C68" s="26" t="s">
        <v>1028</v>
      </c>
      <c r="D68" s="26" t="s">
        <v>1029</v>
      </c>
      <c r="E68" s="26" t="s">
        <v>1030</v>
      </c>
      <c r="F68" s="26">
        <v>2022</v>
      </c>
      <c r="P68" s="26" t="s">
        <v>226</v>
      </c>
      <c r="Q68" s="25" t="s">
        <v>1031</v>
      </c>
      <c r="R68" s="26" t="s">
        <v>917</v>
      </c>
      <c r="S68" s="26" t="s">
        <v>362</v>
      </c>
      <c r="U68" s="26" t="s">
        <v>1032</v>
      </c>
      <c r="V68" s="26" t="s">
        <v>990</v>
      </c>
    </row>
    <row r="69" spans="1:22" s="18" customFormat="1">
      <c r="A69" s="18">
        <v>9</v>
      </c>
      <c r="B69" s="18" t="s">
        <v>1033</v>
      </c>
      <c r="C69" s="18" t="s">
        <v>1034</v>
      </c>
      <c r="D69" s="18" t="s">
        <v>1035</v>
      </c>
      <c r="E69" s="18" t="s">
        <v>1036</v>
      </c>
      <c r="F69" s="18">
        <v>2024</v>
      </c>
      <c r="P69" s="18" t="s">
        <v>226</v>
      </c>
      <c r="Q69" s="17" t="s">
        <v>1037</v>
      </c>
      <c r="R69" s="18" t="s">
        <v>816</v>
      </c>
      <c r="S69" s="18" t="s">
        <v>208</v>
      </c>
      <c r="U69" s="18" t="s">
        <v>1038</v>
      </c>
      <c r="V69" s="18" t="s">
        <v>990</v>
      </c>
    </row>
    <row r="70" spans="1:22">
      <c r="A70">
        <v>10</v>
      </c>
      <c r="B70" t="s">
        <v>1039</v>
      </c>
      <c r="C70" t="s">
        <v>1040</v>
      </c>
      <c r="D70" t="s">
        <v>1041</v>
      </c>
      <c r="E70" t="s">
        <v>1042</v>
      </c>
      <c r="F70">
        <v>2024</v>
      </c>
      <c r="P70" t="s">
        <v>226</v>
      </c>
      <c r="Q70" s="14" t="s">
        <v>677</v>
      </c>
      <c r="R70" t="s">
        <v>472</v>
      </c>
      <c r="S70" t="s">
        <v>461</v>
      </c>
      <c r="U70" t="s">
        <v>1043</v>
      </c>
      <c r="V70" t="s">
        <v>990</v>
      </c>
    </row>
    <row r="71" spans="1:22" s="18" customFormat="1">
      <c r="A71" s="18">
        <v>11</v>
      </c>
      <c r="B71" s="18" t="s">
        <v>1044</v>
      </c>
      <c r="C71" s="18" t="s">
        <v>1045</v>
      </c>
      <c r="D71" s="18" t="s">
        <v>1046</v>
      </c>
      <c r="E71" s="18" t="s">
        <v>1047</v>
      </c>
      <c r="F71" s="18">
        <v>2024</v>
      </c>
      <c r="P71" s="18" t="s">
        <v>226</v>
      </c>
      <c r="Q71" s="17" t="s">
        <v>1048</v>
      </c>
      <c r="R71" s="9" t="s">
        <v>949</v>
      </c>
      <c r="S71" s="18" t="s">
        <v>322</v>
      </c>
      <c r="U71" s="18" t="s">
        <v>951</v>
      </c>
      <c r="V71" s="18" t="s">
        <v>990</v>
      </c>
    </row>
    <row r="72" spans="1:22">
      <c r="A72">
        <v>12</v>
      </c>
      <c r="B72" t="s">
        <v>1049</v>
      </c>
      <c r="C72" t="s">
        <v>1050</v>
      </c>
      <c r="D72" t="s">
        <v>1051</v>
      </c>
      <c r="E72" t="s">
        <v>1052</v>
      </c>
      <c r="F72">
        <v>2022</v>
      </c>
      <c r="P72" t="s">
        <v>226</v>
      </c>
      <c r="Q72" t="s">
        <v>1053</v>
      </c>
      <c r="R72" t="s">
        <v>954</v>
      </c>
      <c r="S72" t="s">
        <v>955</v>
      </c>
      <c r="U72" t="s">
        <v>956</v>
      </c>
      <c r="V72" t="s">
        <v>990</v>
      </c>
    </row>
    <row r="73" spans="1:22">
      <c r="A73">
        <v>13</v>
      </c>
      <c r="B73" t="s">
        <v>1054</v>
      </c>
      <c r="C73" t="s">
        <v>1055</v>
      </c>
      <c r="D73" t="s">
        <v>1056</v>
      </c>
      <c r="E73" t="s">
        <v>1057</v>
      </c>
      <c r="F73">
        <v>2019</v>
      </c>
      <c r="P73" t="s">
        <v>226</v>
      </c>
      <c r="Q73" t="s">
        <v>1058</v>
      </c>
      <c r="R73" t="s">
        <v>958</v>
      </c>
      <c r="S73" t="s">
        <v>959</v>
      </c>
      <c r="U73" t="s">
        <v>961</v>
      </c>
      <c r="V73" t="s">
        <v>990</v>
      </c>
    </row>
    <row r="74" spans="1:22" s="18" customFormat="1">
      <c r="A74" s="18">
        <v>14</v>
      </c>
      <c r="B74" s="18" t="s">
        <v>1059</v>
      </c>
      <c r="C74" s="18" t="s">
        <v>1060</v>
      </c>
      <c r="D74" s="18" t="s">
        <v>1061</v>
      </c>
      <c r="E74" s="18" t="s">
        <v>1062</v>
      </c>
      <c r="F74" s="18">
        <v>2024</v>
      </c>
      <c r="P74" s="18" t="s">
        <v>226</v>
      </c>
      <c r="Q74" s="17" t="s">
        <v>1063</v>
      </c>
      <c r="R74" s="9" t="s">
        <v>965</v>
      </c>
      <c r="S74" s="18" t="s">
        <v>301</v>
      </c>
      <c r="U74" s="18" t="s">
        <v>966</v>
      </c>
      <c r="V74" s="18" t="s">
        <v>990</v>
      </c>
    </row>
    <row r="75" spans="1:22">
      <c r="A75">
        <v>15</v>
      </c>
      <c r="B75" t="s">
        <v>1064</v>
      </c>
      <c r="C75" t="s">
        <v>1065</v>
      </c>
      <c r="D75" t="s">
        <v>1066</v>
      </c>
      <c r="E75" t="s">
        <v>1067</v>
      </c>
      <c r="F75">
        <v>2020</v>
      </c>
      <c r="P75" t="s">
        <v>226</v>
      </c>
      <c r="Q75" t="s">
        <v>1068</v>
      </c>
      <c r="R75" s="9" t="s">
        <v>969</v>
      </c>
      <c r="S75" t="s">
        <v>180</v>
      </c>
      <c r="U75" t="s">
        <v>970</v>
      </c>
      <c r="V75" t="s">
        <v>990</v>
      </c>
    </row>
    <row r="76" spans="1:22">
      <c r="A76">
        <v>16</v>
      </c>
      <c r="B76" t="s">
        <v>1069</v>
      </c>
      <c r="C76" t="s">
        <v>1070</v>
      </c>
      <c r="D76" t="s">
        <v>1071</v>
      </c>
      <c r="E76" t="s">
        <v>1072</v>
      </c>
      <c r="F76">
        <v>2021</v>
      </c>
      <c r="P76" t="s">
        <v>226</v>
      </c>
      <c r="Q76" t="s">
        <v>1073</v>
      </c>
      <c r="R76" t="s">
        <v>478</v>
      </c>
      <c r="S76" t="s">
        <v>362</v>
      </c>
      <c r="U76" t="s">
        <v>479</v>
      </c>
      <c r="V76" t="s">
        <v>990</v>
      </c>
    </row>
    <row r="77" spans="1:22">
      <c r="A77">
        <v>17</v>
      </c>
      <c r="B77" t="s">
        <v>1074</v>
      </c>
      <c r="C77" t="s">
        <v>1075</v>
      </c>
      <c r="D77" t="s">
        <v>1076</v>
      </c>
      <c r="E77" t="s">
        <v>1077</v>
      </c>
      <c r="F77">
        <v>2024</v>
      </c>
      <c r="P77" t="s">
        <v>226</v>
      </c>
      <c r="Q77" t="s">
        <v>1078</v>
      </c>
      <c r="R77" t="s">
        <v>972</v>
      </c>
      <c r="S77" t="s">
        <v>362</v>
      </c>
      <c r="U77" t="s">
        <v>974</v>
      </c>
      <c r="V77" t="s">
        <v>990</v>
      </c>
    </row>
    <row r="78" spans="1:22" s="18" customFormat="1">
      <c r="A78" s="18">
        <v>18</v>
      </c>
      <c r="B78" s="18" t="s">
        <v>1079</v>
      </c>
      <c r="C78" s="18" t="s">
        <v>1080</v>
      </c>
      <c r="D78" s="18" t="s">
        <v>1081</v>
      </c>
      <c r="E78" s="18" t="s">
        <v>1082</v>
      </c>
      <c r="F78" s="18">
        <v>2020</v>
      </c>
      <c r="P78" s="18" t="s">
        <v>226</v>
      </c>
      <c r="Q78" s="17" t="s">
        <v>1083</v>
      </c>
      <c r="R78" s="18" t="s">
        <v>481</v>
      </c>
      <c r="S78" s="18" t="s">
        <v>393</v>
      </c>
      <c r="U78" s="18" t="s">
        <v>482</v>
      </c>
      <c r="V78" s="18" t="s">
        <v>990</v>
      </c>
    </row>
    <row r="79" spans="1:22" s="18" customFormat="1">
      <c r="A79" s="18">
        <v>19</v>
      </c>
      <c r="B79" s="18" t="s">
        <v>1084</v>
      </c>
      <c r="C79" s="18" t="s">
        <v>1085</v>
      </c>
      <c r="D79" s="18" t="s">
        <v>1086</v>
      </c>
      <c r="E79" s="18" t="s">
        <v>1087</v>
      </c>
      <c r="F79" s="18">
        <v>2023</v>
      </c>
      <c r="P79" s="18" t="s">
        <v>226</v>
      </c>
      <c r="Q79" s="17" t="s">
        <v>1088</v>
      </c>
      <c r="R79" s="9" t="s">
        <v>808</v>
      </c>
      <c r="S79" s="18" t="s">
        <v>345</v>
      </c>
      <c r="U79" s="18" t="s">
        <v>1089</v>
      </c>
      <c r="V79" s="18" t="s">
        <v>990</v>
      </c>
    </row>
    <row r="80" spans="1:22">
      <c r="A80">
        <v>20</v>
      </c>
      <c r="B80" t="s">
        <v>1090</v>
      </c>
      <c r="C80" t="s">
        <v>1091</v>
      </c>
      <c r="D80" t="s">
        <v>1092</v>
      </c>
      <c r="E80" t="s">
        <v>1093</v>
      </c>
      <c r="F80">
        <v>2024</v>
      </c>
      <c r="P80" t="s">
        <v>226</v>
      </c>
      <c r="Q80" t="s">
        <v>1094</v>
      </c>
      <c r="R80" t="s">
        <v>487</v>
      </c>
      <c r="S80" t="s">
        <v>55</v>
      </c>
      <c r="U80" t="s">
        <v>488</v>
      </c>
      <c r="V80" t="s">
        <v>990</v>
      </c>
    </row>
    <row r="81" spans="1:22" s="18" customFormat="1">
      <c r="A81" s="18">
        <v>21</v>
      </c>
      <c r="B81" s="18" t="s">
        <v>1095</v>
      </c>
      <c r="C81" s="18" t="s">
        <v>1096</v>
      </c>
      <c r="D81" s="18" t="s">
        <v>1097</v>
      </c>
      <c r="E81" s="18" t="s">
        <v>1098</v>
      </c>
      <c r="F81" s="18">
        <v>2022</v>
      </c>
      <c r="P81" s="18" t="s">
        <v>226</v>
      </c>
      <c r="Q81" s="17" t="s">
        <v>1099</v>
      </c>
      <c r="R81" s="18" t="s">
        <v>494</v>
      </c>
      <c r="S81" s="18" t="s">
        <v>408</v>
      </c>
      <c r="U81" s="18" t="s">
        <v>495</v>
      </c>
      <c r="V81" s="18" t="s">
        <v>990</v>
      </c>
    </row>
    <row r="82" spans="1:22">
      <c r="A82">
        <v>22</v>
      </c>
      <c r="B82" t="s">
        <v>1100</v>
      </c>
      <c r="C82" t="s">
        <v>1101</v>
      </c>
      <c r="D82" t="s">
        <v>1102</v>
      </c>
      <c r="E82" t="s">
        <v>554</v>
      </c>
      <c r="F82">
        <v>2023</v>
      </c>
      <c r="P82" t="s">
        <v>226</v>
      </c>
      <c r="Q82" t="s">
        <v>1103</v>
      </c>
      <c r="R82" t="s">
        <v>669</v>
      </c>
      <c r="S82" t="s">
        <v>552</v>
      </c>
      <c r="U82" t="s">
        <v>1104</v>
      </c>
      <c r="V82" t="s">
        <v>990</v>
      </c>
    </row>
    <row r="83" spans="1:22" s="19" customFormat="1">
      <c r="A83" s="5">
        <v>23</v>
      </c>
      <c r="B83" s="5" t="s">
        <v>1105</v>
      </c>
      <c r="C83" s="5" t="s">
        <v>1106</v>
      </c>
      <c r="D83" s="5" t="s">
        <v>1107</v>
      </c>
      <c r="E83" s="5" t="s">
        <v>1108</v>
      </c>
      <c r="F83" s="5">
        <v>2024</v>
      </c>
      <c r="G83" s="5"/>
      <c r="H83" s="5"/>
      <c r="I83" s="5"/>
      <c r="J83" s="5"/>
      <c r="K83" s="5"/>
      <c r="L83" s="5"/>
      <c r="M83" s="5"/>
      <c r="N83" s="5"/>
      <c r="O83" s="5"/>
      <c r="P83" s="5" t="s">
        <v>226</v>
      </c>
      <c r="Q83" s="5" t="s">
        <v>499</v>
      </c>
      <c r="R83" s="5" t="s">
        <v>500</v>
      </c>
      <c r="S83" s="5" t="s">
        <v>501</v>
      </c>
      <c r="T83" s="5"/>
      <c r="U83" s="5" t="s">
        <v>502</v>
      </c>
      <c r="V83" s="5" t="s">
        <v>990</v>
      </c>
    </row>
    <row r="84" spans="1:22">
      <c r="A84">
        <v>24</v>
      </c>
      <c r="B84" t="s">
        <v>1109</v>
      </c>
      <c r="C84" t="s">
        <v>1110</v>
      </c>
      <c r="D84" t="s">
        <v>1111</v>
      </c>
      <c r="E84" t="s">
        <v>1112</v>
      </c>
      <c r="F84">
        <v>2022</v>
      </c>
      <c r="P84" t="s">
        <v>226</v>
      </c>
      <c r="Q84" t="s">
        <v>509</v>
      </c>
      <c r="R84" t="s">
        <v>510</v>
      </c>
      <c r="S84" t="s">
        <v>376</v>
      </c>
      <c r="U84" t="s">
        <v>511</v>
      </c>
      <c r="V84" t="s">
        <v>990</v>
      </c>
    </row>
    <row r="85" spans="1:22" s="16" customFormat="1">
      <c r="A85" s="16">
        <v>25</v>
      </c>
      <c r="B85" s="16" t="s">
        <v>1113</v>
      </c>
      <c r="C85" s="16" t="s">
        <v>1114</v>
      </c>
      <c r="D85" s="16" t="s">
        <v>1115</v>
      </c>
      <c r="E85" s="16" t="s">
        <v>1116</v>
      </c>
      <c r="F85" s="16">
        <v>2018</v>
      </c>
      <c r="P85" s="16" t="s">
        <v>226</v>
      </c>
      <c r="Q85" s="17" t="s">
        <v>1117</v>
      </c>
      <c r="R85" s="16" t="s">
        <v>75</v>
      </c>
      <c r="S85" s="16" t="s">
        <v>76</v>
      </c>
      <c r="U85" s="16" t="s">
        <v>1118</v>
      </c>
      <c r="V85" s="16" t="s">
        <v>990</v>
      </c>
    </row>
    <row r="87" spans="1:22" s="24" customFormat="1">
      <c r="A87" s="24">
        <v>1</v>
      </c>
      <c r="E87" s="24" t="s">
        <v>1119</v>
      </c>
      <c r="P87" s="24" t="s">
        <v>387</v>
      </c>
      <c r="Q87" s="25" t="s">
        <v>1031</v>
      </c>
      <c r="V87" s="24" t="s">
        <v>990</v>
      </c>
    </row>
    <row r="88" spans="1:22" s="16" customFormat="1">
      <c r="A88" s="16">
        <v>2</v>
      </c>
      <c r="E88" s="15" t="s">
        <v>994</v>
      </c>
      <c r="P88" s="16" t="s">
        <v>387</v>
      </c>
      <c r="Q88" s="17" t="s">
        <v>995</v>
      </c>
      <c r="V88" s="16" t="s">
        <v>990</v>
      </c>
    </row>
    <row r="89" spans="1:22" s="16" customFormat="1">
      <c r="A89" s="16">
        <v>3</v>
      </c>
      <c r="E89" s="15" t="s">
        <v>1120</v>
      </c>
      <c r="P89" s="16" t="s">
        <v>387</v>
      </c>
      <c r="Q89" s="17" t="s">
        <v>1013</v>
      </c>
      <c r="V89" s="16" t="s">
        <v>990</v>
      </c>
    </row>
    <row r="90" spans="1:22" s="16" customFormat="1">
      <c r="A90" s="16">
        <v>4</v>
      </c>
      <c r="E90" s="15" t="s">
        <v>1121</v>
      </c>
      <c r="P90" s="16" t="s">
        <v>387</v>
      </c>
      <c r="Q90" s="17" t="s">
        <v>1083</v>
      </c>
      <c r="V90" s="16" t="s">
        <v>990</v>
      </c>
    </row>
    <row r="91" spans="1:22">
      <c r="A91">
        <v>5</v>
      </c>
      <c r="E91" s="9" t="s">
        <v>1122</v>
      </c>
      <c r="P91" t="s">
        <v>387</v>
      </c>
      <c r="Q91" s="4" t="s">
        <v>1123</v>
      </c>
      <c r="R91" t="s">
        <v>938</v>
      </c>
      <c r="V91" t="s">
        <v>990</v>
      </c>
    </row>
    <row r="92" spans="1:22" s="16" customFormat="1">
      <c r="A92" s="16">
        <v>6</v>
      </c>
      <c r="E92" s="15" t="s">
        <v>1124</v>
      </c>
      <c r="P92" s="16" t="s">
        <v>387</v>
      </c>
      <c r="Q92" s="17" t="s">
        <v>1019</v>
      </c>
      <c r="V92" s="16" t="s">
        <v>990</v>
      </c>
    </row>
    <row r="93" spans="1:22">
      <c r="A93">
        <v>7</v>
      </c>
      <c r="E93" s="9" t="s">
        <v>1125</v>
      </c>
      <c r="P93" t="s">
        <v>387</v>
      </c>
      <c r="Q93" s="4" t="s">
        <v>1126</v>
      </c>
      <c r="R93" t="s">
        <v>150</v>
      </c>
      <c r="V93" t="s">
        <v>990</v>
      </c>
    </row>
    <row r="94" spans="1:22" s="16" customFormat="1">
      <c r="A94" s="16">
        <v>8</v>
      </c>
      <c r="E94" s="15" t="s">
        <v>1127</v>
      </c>
      <c r="P94" s="16" t="s">
        <v>387</v>
      </c>
      <c r="Q94" s="17" t="s">
        <v>1117</v>
      </c>
      <c r="V94" s="16" t="s">
        <v>990</v>
      </c>
    </row>
    <row r="95" spans="1:22" s="16" customFormat="1">
      <c r="A95" s="16">
        <v>9</v>
      </c>
      <c r="E95" s="15" t="s">
        <v>1128</v>
      </c>
      <c r="P95" s="16" t="s">
        <v>387</v>
      </c>
      <c r="Q95" s="17" t="s">
        <v>1088</v>
      </c>
      <c r="V95" s="16" t="s">
        <v>990</v>
      </c>
    </row>
    <row r="96" spans="1:22" s="20" customFormat="1">
      <c r="A96" s="20">
        <v>10</v>
      </c>
      <c r="E96" s="21" t="s">
        <v>1129</v>
      </c>
      <c r="P96" s="20" t="s">
        <v>387</v>
      </c>
      <c r="Q96" s="22" t="s">
        <v>1130</v>
      </c>
      <c r="R96" s="20" t="s">
        <v>86</v>
      </c>
      <c r="V96" s="20" t="s">
        <v>990</v>
      </c>
    </row>
    <row r="97" spans="1:22" s="16" customFormat="1">
      <c r="A97" s="16">
        <v>11</v>
      </c>
      <c r="E97" s="15" t="s">
        <v>1131</v>
      </c>
      <c r="P97" s="16" t="s">
        <v>387</v>
      </c>
      <c r="Q97" s="17" t="s">
        <v>1037</v>
      </c>
      <c r="V97" s="16" t="s">
        <v>990</v>
      </c>
    </row>
    <row r="98" spans="1:22" s="16" customFormat="1">
      <c r="A98" s="16">
        <v>12</v>
      </c>
      <c r="E98" s="15" t="s">
        <v>1132</v>
      </c>
      <c r="P98" s="16" t="s">
        <v>387</v>
      </c>
      <c r="Q98" s="17" t="s">
        <v>1025</v>
      </c>
      <c r="V98" s="16" t="s">
        <v>990</v>
      </c>
    </row>
    <row r="99" spans="1:22">
      <c r="A99">
        <v>13</v>
      </c>
      <c r="E99" s="9" t="s">
        <v>1133</v>
      </c>
      <c r="P99" t="s">
        <v>387</v>
      </c>
      <c r="Q99" s="4" t="s">
        <v>1134</v>
      </c>
      <c r="R99" s="9" t="s">
        <v>927</v>
      </c>
      <c r="V99" t="s">
        <v>990</v>
      </c>
    </row>
    <row r="100" spans="1:22">
      <c r="A100">
        <v>14</v>
      </c>
      <c r="E100" s="9" t="s">
        <v>1135</v>
      </c>
      <c r="P100" t="s">
        <v>387</v>
      </c>
      <c r="Q100" s="4" t="s">
        <v>1136</v>
      </c>
      <c r="R100" t="s">
        <v>516</v>
      </c>
      <c r="V100" t="s">
        <v>990</v>
      </c>
    </row>
    <row r="101" spans="1:22">
      <c r="A101">
        <v>15</v>
      </c>
      <c r="E101" s="9" t="s">
        <v>1137</v>
      </c>
      <c r="P101" t="s">
        <v>387</v>
      </c>
      <c r="Q101" s="4" t="s">
        <v>1138</v>
      </c>
      <c r="R101" s="9" t="s">
        <v>931</v>
      </c>
      <c r="V101" t="s">
        <v>990</v>
      </c>
    </row>
    <row r="102" spans="1:22" s="16" customFormat="1">
      <c r="A102" s="16">
        <v>16</v>
      </c>
      <c r="E102" s="15" t="s">
        <v>1139</v>
      </c>
      <c r="P102" s="16" t="s">
        <v>387</v>
      </c>
      <c r="Q102" s="17" t="s">
        <v>1099</v>
      </c>
      <c r="V102" s="16" t="s">
        <v>990</v>
      </c>
    </row>
    <row r="103" spans="1:22">
      <c r="A103">
        <v>17</v>
      </c>
      <c r="E103" s="9" t="s">
        <v>1140</v>
      </c>
      <c r="P103" t="s">
        <v>387</v>
      </c>
      <c r="Q103" s="4" t="s">
        <v>1141</v>
      </c>
      <c r="R103" s="9" t="s">
        <v>1142</v>
      </c>
      <c r="V103" t="s">
        <v>990</v>
      </c>
    </row>
    <row r="104" spans="1:22" s="16" customFormat="1">
      <c r="A104" s="16">
        <v>18</v>
      </c>
      <c r="E104" s="15" t="s">
        <v>1143</v>
      </c>
      <c r="P104" s="16" t="s">
        <v>387</v>
      </c>
      <c r="Q104" s="17" t="s">
        <v>1007</v>
      </c>
      <c r="V104" s="16" t="s">
        <v>990</v>
      </c>
    </row>
    <row r="105" spans="1:22">
      <c r="A105">
        <v>19</v>
      </c>
      <c r="E105" s="9" t="s">
        <v>1144</v>
      </c>
      <c r="P105" t="s">
        <v>387</v>
      </c>
      <c r="Q105" s="4" t="s">
        <v>1145</v>
      </c>
      <c r="R105" s="9" t="s">
        <v>519</v>
      </c>
      <c r="V105" t="s">
        <v>990</v>
      </c>
    </row>
    <row r="106" spans="1:22" s="20" customFormat="1">
      <c r="A106" s="20">
        <v>20</v>
      </c>
      <c r="E106" s="21" t="s">
        <v>1146</v>
      </c>
      <c r="P106" s="20" t="s">
        <v>387</v>
      </c>
      <c r="Q106" s="22" t="s">
        <v>1147</v>
      </c>
      <c r="R106" s="20" t="s">
        <v>1148</v>
      </c>
      <c r="V106" s="20" t="s">
        <v>990</v>
      </c>
    </row>
    <row r="107" spans="1:22">
      <c r="A107">
        <v>21</v>
      </c>
      <c r="E107" s="9" t="s">
        <v>1149</v>
      </c>
      <c r="P107" t="s">
        <v>387</v>
      </c>
      <c r="Q107" s="4" t="s">
        <v>1150</v>
      </c>
      <c r="R107" t="s">
        <v>522</v>
      </c>
      <c r="V107" t="s">
        <v>990</v>
      </c>
    </row>
    <row r="108" spans="1:22">
      <c r="A108">
        <v>22</v>
      </c>
      <c r="E108" s="9" t="s">
        <v>1151</v>
      </c>
      <c r="P108" t="s">
        <v>387</v>
      </c>
      <c r="Q108" s="4" t="s">
        <v>1152</v>
      </c>
      <c r="R108" t="s">
        <v>1153</v>
      </c>
      <c r="V108" t="s">
        <v>990</v>
      </c>
    </row>
    <row r="109" spans="1:22">
      <c r="A109">
        <v>23</v>
      </c>
      <c r="E109" s="9" t="s">
        <v>1154</v>
      </c>
      <c r="P109" t="s">
        <v>387</v>
      </c>
      <c r="Q109" s="4" t="s">
        <v>1155</v>
      </c>
      <c r="R109" s="9" t="s">
        <v>530</v>
      </c>
      <c r="V109" t="s">
        <v>990</v>
      </c>
    </row>
    <row r="110" spans="1:22">
      <c r="A110">
        <v>24</v>
      </c>
      <c r="E110" s="9" t="s">
        <v>1156</v>
      </c>
      <c r="P110" t="s">
        <v>387</v>
      </c>
      <c r="Q110" s="4" t="s">
        <v>1157</v>
      </c>
      <c r="R110" t="s">
        <v>466</v>
      </c>
      <c r="V110" t="s">
        <v>990</v>
      </c>
    </row>
    <row r="111" spans="1:22">
      <c r="A111">
        <v>25</v>
      </c>
      <c r="E111" s="9" t="s">
        <v>1158</v>
      </c>
      <c r="P111" t="s">
        <v>387</v>
      </c>
      <c r="Q111" s="4" t="s">
        <v>1159</v>
      </c>
      <c r="R111" t="s">
        <v>1160</v>
      </c>
      <c r="V111" t="s">
        <v>990</v>
      </c>
    </row>
    <row r="112" spans="1:22" s="16" customFormat="1">
      <c r="A112" s="16">
        <v>26</v>
      </c>
      <c r="E112" s="15" t="s">
        <v>1161</v>
      </c>
      <c r="P112" s="16" t="s">
        <v>387</v>
      </c>
      <c r="Q112" s="17" t="s">
        <v>988</v>
      </c>
      <c r="V112" s="16" t="s">
        <v>990</v>
      </c>
    </row>
    <row r="113" spans="1:22" s="16" customFormat="1">
      <c r="A113" s="16">
        <v>27</v>
      </c>
      <c r="E113" s="15" t="s">
        <v>1162</v>
      </c>
      <c r="P113" s="16" t="s">
        <v>387</v>
      </c>
      <c r="Q113" s="17" t="s">
        <v>1163</v>
      </c>
      <c r="V113" s="16" t="s">
        <v>990</v>
      </c>
    </row>
    <row r="114" spans="1:22">
      <c r="A114">
        <v>28</v>
      </c>
      <c r="E114" s="9" t="s">
        <v>1164</v>
      </c>
      <c r="P114" t="s">
        <v>387</v>
      </c>
      <c r="Q114" s="4" t="s">
        <v>1165</v>
      </c>
      <c r="R114" s="9" t="s">
        <v>813</v>
      </c>
      <c r="V114" t="s">
        <v>990</v>
      </c>
    </row>
    <row r="115" spans="1:22" s="16" customFormat="1">
      <c r="A115" s="16">
        <v>29</v>
      </c>
      <c r="E115" s="15" t="s">
        <v>1166</v>
      </c>
      <c r="P115" s="16" t="s">
        <v>387</v>
      </c>
      <c r="Q115" s="17" t="s">
        <v>1167</v>
      </c>
      <c r="V115" s="16" t="s">
        <v>990</v>
      </c>
    </row>
    <row r="117" spans="1:22">
      <c r="A117">
        <v>1</v>
      </c>
      <c r="P117" t="s">
        <v>1168</v>
      </c>
      <c r="Q117" t="s">
        <v>1068</v>
      </c>
    </row>
    <row r="118" spans="1:22">
      <c r="A118">
        <v>2</v>
      </c>
      <c r="P118" t="s">
        <v>1168</v>
      </c>
      <c r="Q118" t="s">
        <v>1169</v>
      </c>
    </row>
    <row r="119" spans="1:22">
      <c r="A119">
        <v>3</v>
      </c>
      <c r="P119" t="s">
        <v>1168</v>
      </c>
      <c r="Q119" t="s">
        <v>1170</v>
      </c>
    </row>
    <row r="120" spans="1:22">
      <c r="A120">
        <v>4</v>
      </c>
      <c r="P120" t="s">
        <v>1168</v>
      </c>
      <c r="Q120" t="s">
        <v>1171</v>
      </c>
    </row>
    <row r="121" spans="1:22">
      <c r="A121">
        <v>5</v>
      </c>
      <c r="P121" t="s">
        <v>1168</v>
      </c>
      <c r="Q121" t="s">
        <v>1172</v>
      </c>
    </row>
    <row r="122" spans="1:22">
      <c r="A122">
        <v>6</v>
      </c>
      <c r="P122" t="s">
        <v>1168</v>
      </c>
      <c r="Q122" t="s">
        <v>1173</v>
      </c>
    </row>
    <row r="123" spans="1:22">
      <c r="A123">
        <v>7</v>
      </c>
      <c r="P123" t="s">
        <v>1168</v>
      </c>
      <c r="Q123" t="s">
        <v>1174</v>
      </c>
    </row>
    <row r="124" spans="1:22">
      <c r="A124">
        <v>8</v>
      </c>
      <c r="P124" t="s">
        <v>1168</v>
      </c>
      <c r="Q124" t="s">
        <v>1175</v>
      </c>
    </row>
    <row r="125" spans="1:22">
      <c r="A125">
        <v>9</v>
      </c>
      <c r="P125" t="s">
        <v>1168</v>
      </c>
      <c r="Q125" t="s">
        <v>1176</v>
      </c>
    </row>
    <row r="126" spans="1:22">
      <c r="A126">
        <v>10</v>
      </c>
      <c r="P126" t="s">
        <v>1168</v>
      </c>
      <c r="Q126" t="s">
        <v>1177</v>
      </c>
    </row>
    <row r="127" spans="1:22">
      <c r="A127">
        <v>11</v>
      </c>
      <c r="P127" t="s">
        <v>1168</v>
      </c>
      <c r="Q127" t="s">
        <v>1053</v>
      </c>
    </row>
    <row r="128" spans="1:22">
      <c r="A128">
        <v>12</v>
      </c>
      <c r="P128" t="s">
        <v>1168</v>
      </c>
      <c r="Q128" t="s">
        <v>1178</v>
      </c>
    </row>
    <row r="129" spans="1:18">
      <c r="A129">
        <v>13</v>
      </c>
      <c r="P129" t="s">
        <v>1168</v>
      </c>
      <c r="Q129" t="s">
        <v>1179</v>
      </c>
    </row>
    <row r="130" spans="1:18">
      <c r="A130">
        <v>14</v>
      </c>
      <c r="P130" t="s">
        <v>1168</v>
      </c>
      <c r="Q130" t="s">
        <v>1180</v>
      </c>
    </row>
    <row r="131" spans="1:18">
      <c r="A131">
        <v>15</v>
      </c>
      <c r="P131" t="s">
        <v>1168</v>
      </c>
      <c r="Q131" t="s">
        <v>1181</v>
      </c>
    </row>
    <row r="132" spans="1:18">
      <c r="A132">
        <v>16</v>
      </c>
      <c r="P132" t="s">
        <v>1168</v>
      </c>
      <c r="Q132" t="s">
        <v>1182</v>
      </c>
    </row>
    <row r="133" spans="1:18">
      <c r="A133">
        <v>17</v>
      </c>
      <c r="P133" t="s">
        <v>1168</v>
      </c>
      <c r="Q133" t="s">
        <v>1183</v>
      </c>
    </row>
    <row r="134" spans="1:18">
      <c r="A134">
        <v>18</v>
      </c>
      <c r="P134" t="s">
        <v>1168</v>
      </c>
      <c r="Q134" t="s">
        <v>1184</v>
      </c>
    </row>
    <row r="135" spans="1:18">
      <c r="A135">
        <v>19</v>
      </c>
      <c r="P135" t="s">
        <v>1168</v>
      </c>
      <c r="Q135" t="s">
        <v>1185</v>
      </c>
    </row>
    <row r="136" spans="1:18">
      <c r="A136">
        <v>20</v>
      </c>
      <c r="P136" t="s">
        <v>1168</v>
      </c>
      <c r="Q136" t="s">
        <v>1186</v>
      </c>
    </row>
    <row r="137" spans="1:18">
      <c r="A137">
        <v>21</v>
      </c>
      <c r="P137" t="s">
        <v>1168</v>
      </c>
      <c r="Q137" t="s">
        <v>1187</v>
      </c>
    </row>
    <row r="138" spans="1:18">
      <c r="A138">
        <v>22</v>
      </c>
      <c r="P138" t="s">
        <v>1168</v>
      </c>
      <c r="Q138" t="s">
        <v>1188</v>
      </c>
    </row>
    <row r="139" spans="1:18">
      <c r="A139">
        <v>23</v>
      </c>
      <c r="P139" t="s">
        <v>1168</v>
      </c>
      <c r="Q139" t="s">
        <v>1189</v>
      </c>
    </row>
    <row r="140" spans="1:18">
      <c r="A140">
        <v>24</v>
      </c>
      <c r="P140" t="s">
        <v>1168</v>
      </c>
      <c r="Q140" t="s">
        <v>1190</v>
      </c>
    </row>
    <row r="141" spans="1:18">
      <c r="A141">
        <v>25</v>
      </c>
      <c r="P141" t="s">
        <v>1168</v>
      </c>
      <c r="Q141" t="s">
        <v>1191</v>
      </c>
    </row>
    <row r="144" spans="1:18">
      <c r="A144">
        <v>1</v>
      </c>
      <c r="P144" t="s">
        <v>1192</v>
      </c>
      <c r="Q144" t="s">
        <v>1067</v>
      </c>
      <c r="R144" t="s">
        <v>1193</v>
      </c>
    </row>
    <row r="145" spans="1:18">
      <c r="A145">
        <v>2</v>
      </c>
      <c r="P145" t="s">
        <v>1192</v>
      </c>
      <c r="Q145" t="s">
        <v>1194</v>
      </c>
      <c r="R145" t="s">
        <v>1195</v>
      </c>
    </row>
    <row r="146" spans="1:18">
      <c r="A146">
        <v>3</v>
      </c>
      <c r="P146" t="s">
        <v>1192</v>
      </c>
      <c r="Q146" t="s">
        <v>1030</v>
      </c>
      <c r="R146" t="s">
        <v>1196</v>
      </c>
    </row>
    <row r="147" spans="1:18">
      <c r="A147">
        <v>4</v>
      </c>
      <c r="P147" t="s">
        <v>1192</v>
      </c>
      <c r="Q147" t="s">
        <v>1197</v>
      </c>
      <c r="R147" t="s">
        <v>1198</v>
      </c>
    </row>
    <row r="148" spans="1:18">
      <c r="A148">
        <v>5</v>
      </c>
      <c r="P148" t="s">
        <v>1192</v>
      </c>
      <c r="Q148" t="s">
        <v>1047</v>
      </c>
      <c r="R148" t="s">
        <v>1199</v>
      </c>
    </row>
    <row r="149" spans="1:18">
      <c r="A149">
        <v>6</v>
      </c>
      <c r="P149" t="s">
        <v>1192</v>
      </c>
      <c r="Q149" t="s">
        <v>1052</v>
      </c>
      <c r="R149" t="s">
        <v>1200</v>
      </c>
    </row>
    <row r="150" spans="1:18">
      <c r="A150">
        <v>7</v>
      </c>
      <c r="P150" t="s">
        <v>1192</v>
      </c>
      <c r="Q150" t="s">
        <v>1036</v>
      </c>
      <c r="R150" t="s">
        <v>1201</v>
      </c>
    </row>
    <row r="151" spans="1:18">
      <c r="A151">
        <v>8</v>
      </c>
      <c r="P151" t="s">
        <v>1192</v>
      </c>
      <c r="Q151" t="s">
        <v>987</v>
      </c>
      <c r="R151" t="s">
        <v>1202</v>
      </c>
    </row>
    <row r="152" spans="1:18">
      <c r="A152">
        <v>9</v>
      </c>
      <c r="P152" t="s">
        <v>1192</v>
      </c>
      <c r="Q152" t="s">
        <v>1203</v>
      </c>
      <c r="R152" t="s">
        <v>1204</v>
      </c>
    </row>
    <row r="153" spans="1:18">
      <c r="A153">
        <v>10</v>
      </c>
      <c r="P153" t="s">
        <v>1192</v>
      </c>
      <c r="Q153" t="s">
        <v>1205</v>
      </c>
      <c r="R153" t="s">
        <v>1206</v>
      </c>
    </row>
    <row r="154" spans="1:18">
      <c r="A154">
        <v>11</v>
      </c>
      <c r="P154" t="s">
        <v>1192</v>
      </c>
      <c r="Q154" t="s">
        <v>1207</v>
      </c>
      <c r="R154" t="s">
        <v>1208</v>
      </c>
    </row>
    <row r="155" spans="1:18">
      <c r="A155">
        <v>12</v>
      </c>
      <c r="P155" t="s">
        <v>1192</v>
      </c>
      <c r="Q155" t="s">
        <v>1209</v>
      </c>
      <c r="R155" t="s">
        <v>1210</v>
      </c>
    </row>
    <row r="156" spans="1:18">
      <c r="A156">
        <v>13</v>
      </c>
      <c r="P156" t="s">
        <v>1192</v>
      </c>
      <c r="Q156" t="s">
        <v>1211</v>
      </c>
      <c r="R156" t="s">
        <v>1212</v>
      </c>
    </row>
    <row r="157" spans="1:18">
      <c r="A157">
        <v>14</v>
      </c>
      <c r="P157" t="s">
        <v>1192</v>
      </c>
      <c r="Q157" t="s">
        <v>1213</v>
      </c>
      <c r="R157" t="s">
        <v>1214</v>
      </c>
    </row>
    <row r="158" spans="1:18">
      <c r="A158">
        <v>15</v>
      </c>
      <c r="P158" t="s">
        <v>1192</v>
      </c>
      <c r="Q158" t="s">
        <v>1215</v>
      </c>
      <c r="R158" t="s">
        <v>1216</v>
      </c>
    </row>
    <row r="159" spans="1:18">
      <c r="A159">
        <v>16</v>
      </c>
      <c r="P159" t="s">
        <v>1192</v>
      </c>
      <c r="Q159" t="s">
        <v>1116</v>
      </c>
      <c r="R159" t="s">
        <v>1217</v>
      </c>
    </row>
    <row r="160" spans="1:18">
      <c r="A160">
        <v>17</v>
      </c>
      <c r="P160" t="s">
        <v>1192</v>
      </c>
      <c r="Q160" t="s">
        <v>1218</v>
      </c>
      <c r="R160" t="s">
        <v>1219</v>
      </c>
    </row>
    <row r="161" spans="1:18">
      <c r="A161">
        <v>18</v>
      </c>
      <c r="P161" t="s">
        <v>1192</v>
      </c>
      <c r="Q161" t="s">
        <v>1220</v>
      </c>
      <c r="R161" t="s">
        <v>1221</v>
      </c>
    </row>
    <row r="162" spans="1:18">
      <c r="A162">
        <v>19</v>
      </c>
      <c r="P162" t="s">
        <v>1192</v>
      </c>
      <c r="Q162" t="s">
        <v>1222</v>
      </c>
      <c r="R162" t="s">
        <v>1223</v>
      </c>
    </row>
    <row r="163" spans="1:18">
      <c r="A163">
        <v>20</v>
      </c>
      <c r="P163" t="s">
        <v>1192</v>
      </c>
      <c r="Q163" t="s">
        <v>1224</v>
      </c>
      <c r="R163" t="s">
        <v>1225</v>
      </c>
    </row>
    <row r="164" spans="1:18">
      <c r="A164">
        <v>21</v>
      </c>
      <c r="P164" t="s">
        <v>1192</v>
      </c>
      <c r="Q164" t="s">
        <v>1226</v>
      </c>
      <c r="R164" t="s">
        <v>1227</v>
      </c>
    </row>
    <row r="165" spans="1:18">
      <c r="A165">
        <v>22</v>
      </c>
      <c r="P165" t="s">
        <v>1192</v>
      </c>
      <c r="Q165" t="s">
        <v>1228</v>
      </c>
      <c r="R165" t="s">
        <v>1229</v>
      </c>
    </row>
    <row r="166" spans="1:18">
      <c r="A166">
        <v>23</v>
      </c>
      <c r="P166" t="s">
        <v>1192</v>
      </c>
      <c r="Q166" t="s">
        <v>1230</v>
      </c>
      <c r="R166" t="s">
        <v>1231</v>
      </c>
    </row>
    <row r="167" spans="1:18">
      <c r="A167">
        <v>24</v>
      </c>
      <c r="P167" t="s">
        <v>1192</v>
      </c>
      <c r="Q167" t="s">
        <v>1232</v>
      </c>
      <c r="R167" t="s">
        <v>1233</v>
      </c>
    </row>
    <row r="168" spans="1:18">
      <c r="A168">
        <v>25</v>
      </c>
      <c r="P168" t="s">
        <v>1192</v>
      </c>
      <c r="Q168" t="s">
        <v>1234</v>
      </c>
      <c r="R168" t="s">
        <v>1235</v>
      </c>
    </row>
    <row r="171" spans="1:18">
      <c r="A171">
        <v>1</v>
      </c>
      <c r="P171" t="s">
        <v>1236</v>
      </c>
      <c r="Q171" s="184" t="s">
        <v>1237</v>
      </c>
    </row>
    <row r="172" spans="1:18">
      <c r="A172">
        <v>2</v>
      </c>
      <c r="P172" t="s">
        <v>1236</v>
      </c>
      <c r="Q172" s="184" t="s">
        <v>1238</v>
      </c>
    </row>
    <row r="173" spans="1:18">
      <c r="A173">
        <v>3</v>
      </c>
      <c r="P173" t="s">
        <v>1236</v>
      </c>
      <c r="Q173" s="184" t="s">
        <v>1239</v>
      </c>
    </row>
    <row r="174" spans="1:18">
      <c r="A174">
        <v>4</v>
      </c>
      <c r="P174" t="s">
        <v>1236</v>
      </c>
      <c r="Q174" s="184" t="s">
        <v>1240</v>
      </c>
    </row>
    <row r="175" spans="1:18">
      <c r="A175">
        <v>5</v>
      </c>
      <c r="P175" t="s">
        <v>1236</v>
      </c>
      <c r="Q175" s="184" t="s">
        <v>1241</v>
      </c>
    </row>
    <row r="176" spans="1:18">
      <c r="A176">
        <v>6</v>
      </c>
      <c r="P176" t="s">
        <v>1236</v>
      </c>
      <c r="Q176" s="184" t="s">
        <v>1242</v>
      </c>
    </row>
    <row r="177" spans="1:17">
      <c r="A177">
        <v>7</v>
      </c>
      <c r="P177" t="s">
        <v>1236</v>
      </c>
      <c r="Q177" s="184" t="s">
        <v>1243</v>
      </c>
    </row>
    <row r="178" spans="1:17">
      <c r="A178">
        <v>8</v>
      </c>
      <c r="P178" t="s">
        <v>1236</v>
      </c>
      <c r="Q178" s="184" t="s">
        <v>1244</v>
      </c>
    </row>
    <row r="179" spans="1:17">
      <c r="A179">
        <v>9</v>
      </c>
      <c r="P179" t="s">
        <v>1236</v>
      </c>
      <c r="Q179" s="184" t="s">
        <v>1245</v>
      </c>
    </row>
    <row r="180" spans="1:17">
      <c r="A180">
        <v>10</v>
      </c>
      <c r="P180" t="s">
        <v>1236</v>
      </c>
      <c r="Q180" s="184" t="s">
        <v>1246</v>
      </c>
    </row>
    <row r="181" spans="1:17">
      <c r="A181">
        <v>11</v>
      </c>
      <c r="P181" t="s">
        <v>1236</v>
      </c>
      <c r="Q181" s="184" t="s">
        <v>1247</v>
      </c>
    </row>
    <row r="182" spans="1:17">
      <c r="A182">
        <v>12</v>
      </c>
      <c r="P182" t="s">
        <v>1236</v>
      </c>
      <c r="Q182" s="184" t="s">
        <v>1248</v>
      </c>
    </row>
    <row r="183" spans="1:17">
      <c r="A183">
        <v>13</v>
      </c>
      <c r="P183" t="s">
        <v>1236</v>
      </c>
      <c r="Q183" s="184" t="s">
        <v>1249</v>
      </c>
    </row>
    <row r="184" spans="1:17">
      <c r="A184">
        <v>14</v>
      </c>
      <c r="P184" t="s">
        <v>1236</v>
      </c>
      <c r="Q184" s="184" t="s">
        <v>1250</v>
      </c>
    </row>
    <row r="185" spans="1:17">
      <c r="A185">
        <v>15</v>
      </c>
      <c r="P185" t="s">
        <v>1236</v>
      </c>
      <c r="Q185" s="184" t="s">
        <v>1251</v>
      </c>
    </row>
    <row r="186" spans="1:17">
      <c r="A186">
        <v>16</v>
      </c>
      <c r="P186" t="s">
        <v>1236</v>
      </c>
      <c r="Q186" s="184" t="s">
        <v>1252</v>
      </c>
    </row>
    <row r="187" spans="1:17">
      <c r="A187">
        <v>17</v>
      </c>
      <c r="P187" t="s">
        <v>1236</v>
      </c>
      <c r="Q187" s="184" t="s">
        <v>1253</v>
      </c>
    </row>
    <row r="188" spans="1:17">
      <c r="A188">
        <v>18</v>
      </c>
      <c r="P188" t="s">
        <v>1236</v>
      </c>
      <c r="Q188" s="184" t="s">
        <v>1254</v>
      </c>
    </row>
    <row r="189" spans="1:17">
      <c r="A189">
        <v>19</v>
      </c>
      <c r="P189" t="s">
        <v>1236</v>
      </c>
      <c r="Q189" s="184" t="s">
        <v>1255</v>
      </c>
    </row>
    <row r="190" spans="1:17">
      <c r="A190">
        <v>20</v>
      </c>
      <c r="P190" t="s">
        <v>1236</v>
      </c>
      <c r="Q190" s="184" t="s">
        <v>1256</v>
      </c>
    </row>
    <row r="191" spans="1:17">
      <c r="A191">
        <v>21</v>
      </c>
      <c r="P191" t="s">
        <v>1236</v>
      </c>
      <c r="Q191" s="184" t="s">
        <v>1257</v>
      </c>
    </row>
    <row r="192" spans="1:17">
      <c r="A192">
        <v>22</v>
      </c>
      <c r="P192" t="s">
        <v>1236</v>
      </c>
      <c r="Q192" s="184" t="s">
        <v>1258</v>
      </c>
    </row>
    <row r="193" spans="1:17">
      <c r="A193">
        <v>23</v>
      </c>
      <c r="P193" t="s">
        <v>1236</v>
      </c>
      <c r="Q193" s="184" t="s">
        <v>1259</v>
      </c>
    </row>
    <row r="194" spans="1:17">
      <c r="A194">
        <v>24</v>
      </c>
      <c r="P194" t="s">
        <v>1236</v>
      </c>
      <c r="Q194" s="184" t="s">
        <v>1260</v>
      </c>
    </row>
    <row r="195" spans="1:17">
      <c r="A195">
        <v>25</v>
      </c>
      <c r="P195" t="s">
        <v>1236</v>
      </c>
      <c r="Q195" s="184" t="s">
        <v>1261</v>
      </c>
    </row>
    <row r="197" spans="1:17">
      <c r="Q197" t="s">
        <v>1262</v>
      </c>
    </row>
    <row r="198" spans="1:17">
      <c r="P198" t="s">
        <v>226</v>
      </c>
      <c r="Q198">
        <v>92</v>
      </c>
    </row>
    <row r="199" spans="1:17">
      <c r="P199" t="s">
        <v>387</v>
      </c>
      <c r="Q199" s="183">
        <v>1270</v>
      </c>
    </row>
    <row r="200" spans="1:17">
      <c r="P200" t="s">
        <v>1168</v>
      </c>
      <c r="Q200">
        <v>567</v>
      </c>
    </row>
    <row r="201" spans="1:17">
      <c r="P201" t="s">
        <v>1192</v>
      </c>
      <c r="Q201">
        <v>81</v>
      </c>
    </row>
    <row r="202" spans="1:17">
      <c r="P202" t="s">
        <v>1236</v>
      </c>
      <c r="Q202" s="12">
        <v>2620000</v>
      </c>
    </row>
  </sheetData>
  <phoneticPr fontId="64" type="noConversion"/>
  <dataValidations count="3">
    <dataValidation type="list" allowBlank="1" showInputMessage="1" showErrorMessage="1" sqref="K1 K3:K20 K22:K42" xr:uid="{0079B7E3-7BAE-4544-8453-D80EB5BB0CDF}">
      <formula1>"annual, spring, summer, winter, autumn"</formula1>
    </dataValidation>
    <dataValidation type="list" allowBlank="1" showInputMessage="1" showErrorMessage="1" sqref="G1:G42" xr:uid="{ACA07F16-7252-487B-B58C-17172A2B7496}">
      <formula1>"satellite, in situ, modelled, sallite and in situ, modelled and in situ"</formula1>
    </dataValidation>
    <dataValidation type="list" allowBlank="1" showInputMessage="1" showErrorMessage="1" sqref="E1:E42" xr:uid="{269E10FC-D033-4BE8-A079-D0B6D9CDEB11}">
      <formula1>"global, country, region, point"</formula1>
    </dataValidation>
  </dataValidations>
  <hyperlinks>
    <hyperlink ref="U51" r:id="rId1" xr:uid="{7076CC95-BE67-4333-A7AA-AD833986862B}"/>
    <hyperlink ref="U48" r:id="rId2" xr:uid="{EE6B5BE3-428A-48B8-B46B-A13E2D9F5931}"/>
    <hyperlink ref="U3" r:id="rId3" xr:uid="{BC80722E-ADC1-48B6-938E-37AE572C1605}"/>
    <hyperlink ref="U4" r:id="rId4" xr:uid="{FC77AFC9-6923-4F9E-8336-9B423D152C73}"/>
    <hyperlink ref="U63" r:id="rId5" xr:uid="{332FFF87-EBF4-4B5B-A6BA-EE6DC437BC9E}"/>
    <hyperlink ref="U16" r:id="rId6" xr:uid="{97837F29-B2BF-4CA1-A978-DB3E8D284FEF}"/>
    <hyperlink ref="U50" r:id="rId7" xr:uid="{A500E574-3FCE-471B-A0E1-44DBD7812420}"/>
  </hyperlinks>
  <pageMargins left="0.7" right="0.7" top="0.75" bottom="0.75" header="0.3" footer="0.3"/>
  <legacy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6C617-DC07-498C-8B08-3C333F1A141D}">
  <dimension ref="A1:T145"/>
  <sheetViews>
    <sheetView topLeftCell="A110" workbookViewId="0">
      <selection activeCell="B123" sqref="B123"/>
    </sheetView>
  </sheetViews>
  <sheetFormatPr defaultRowHeight="14.4"/>
  <cols>
    <col min="1" max="1" width="31.15625" customWidth="1"/>
    <col min="2" max="2" width="20.578125" customWidth="1"/>
    <col min="3" max="3" width="10.41796875" customWidth="1"/>
    <col min="4" max="4" width="11.26171875" customWidth="1"/>
    <col min="6" max="6" width="9" customWidth="1"/>
    <col min="7" max="7" width="12.68359375" customWidth="1"/>
    <col min="8" max="8" width="12.26171875" customWidth="1"/>
    <col min="9" max="9" width="20.68359375" customWidth="1"/>
    <col min="14" max="14" width="15.41796875" customWidth="1"/>
    <col min="16" max="16" width="15.68359375" customWidth="1"/>
  </cols>
  <sheetData>
    <row r="1" spans="1:20" ht="43.2">
      <c r="A1" s="1" t="s">
        <v>0</v>
      </c>
      <c r="B1" s="1" t="s">
        <v>1</v>
      </c>
      <c r="C1" s="1" t="s">
        <v>2</v>
      </c>
      <c r="D1" s="1" t="s">
        <v>3</v>
      </c>
      <c r="E1" s="1" t="s">
        <v>1263</v>
      </c>
      <c r="F1" s="1" t="s">
        <v>5</v>
      </c>
      <c r="G1" s="1" t="s">
        <v>7</v>
      </c>
      <c r="H1" s="1" t="s">
        <v>8</v>
      </c>
      <c r="I1" s="1" t="s">
        <v>9</v>
      </c>
      <c r="J1" s="1" t="s">
        <v>11</v>
      </c>
      <c r="K1" s="1" t="s">
        <v>12</v>
      </c>
      <c r="L1" s="1" t="s">
        <v>13</v>
      </c>
      <c r="M1" s="1" t="s">
        <v>14</v>
      </c>
      <c r="N1" s="1" t="s">
        <v>15</v>
      </c>
      <c r="O1" s="1" t="s">
        <v>16</v>
      </c>
      <c r="P1" s="1" t="s">
        <v>17</v>
      </c>
      <c r="Q1" s="1" t="s">
        <v>18</v>
      </c>
      <c r="R1" s="1" t="s">
        <v>19</v>
      </c>
      <c r="S1" s="1" t="s">
        <v>20</v>
      </c>
      <c r="T1" t="s">
        <v>1264</v>
      </c>
    </row>
    <row r="2" spans="1:20">
      <c r="A2">
        <v>1.2E-2</v>
      </c>
      <c r="B2" t="s">
        <v>70</v>
      </c>
      <c r="C2">
        <v>30.986001920709299</v>
      </c>
      <c r="D2" s="9">
        <v>88.922988516926196</v>
      </c>
      <c r="E2" t="s">
        <v>37</v>
      </c>
      <c r="F2" t="s">
        <v>139</v>
      </c>
      <c r="G2" t="s">
        <v>84</v>
      </c>
      <c r="H2" t="s">
        <v>30</v>
      </c>
      <c r="I2" t="s">
        <v>40</v>
      </c>
      <c r="J2">
        <v>52</v>
      </c>
      <c r="K2">
        <v>11</v>
      </c>
      <c r="L2">
        <v>2001</v>
      </c>
      <c r="M2">
        <v>2012</v>
      </c>
      <c r="N2" t="s">
        <v>140</v>
      </c>
      <c r="O2" s="14" t="s">
        <v>141</v>
      </c>
      <c r="P2" t="s">
        <v>142</v>
      </c>
      <c r="Q2" t="s">
        <v>143</v>
      </c>
      <c r="R2" t="s">
        <v>144</v>
      </c>
      <c r="S2" s="2" t="s">
        <v>145</v>
      </c>
    </row>
    <row r="3" spans="1:20">
      <c r="A3">
        <v>2.5999999999999999E-2</v>
      </c>
      <c r="B3" t="s">
        <v>70</v>
      </c>
      <c r="C3">
        <v>33.150511224002699</v>
      </c>
      <c r="D3" s="9">
        <v>91.795593718424598</v>
      </c>
      <c r="E3" t="s">
        <v>37</v>
      </c>
      <c r="F3" t="s">
        <v>147</v>
      </c>
      <c r="G3" t="s">
        <v>84</v>
      </c>
      <c r="H3" t="s">
        <v>30</v>
      </c>
      <c r="I3" t="s">
        <v>1265</v>
      </c>
      <c r="J3">
        <v>169</v>
      </c>
      <c r="K3">
        <v>15</v>
      </c>
      <c r="L3">
        <v>2001</v>
      </c>
      <c r="M3">
        <v>2016</v>
      </c>
      <c r="N3" t="s">
        <v>140</v>
      </c>
      <c r="O3" s="4" t="s">
        <v>149</v>
      </c>
      <c r="P3" t="s">
        <v>150</v>
      </c>
      <c r="Q3" t="s">
        <v>151</v>
      </c>
      <c r="R3" t="s">
        <v>152</v>
      </c>
      <c r="S3" s="2" t="s">
        <v>153</v>
      </c>
      <c r="T3" t="s">
        <v>211</v>
      </c>
    </row>
    <row r="4" spans="1:20">
      <c r="A4">
        <v>-2.9000000000000001E-2</v>
      </c>
      <c r="B4" t="s">
        <v>70</v>
      </c>
      <c r="C4">
        <v>32.803062671450398</v>
      </c>
      <c r="D4" s="9">
        <v>83.899055649201401</v>
      </c>
      <c r="E4" t="s">
        <v>37</v>
      </c>
      <c r="F4" t="s">
        <v>185</v>
      </c>
      <c r="G4" t="s">
        <v>84</v>
      </c>
      <c r="H4" t="s">
        <v>30</v>
      </c>
      <c r="I4" t="s">
        <v>40</v>
      </c>
      <c r="J4">
        <v>56</v>
      </c>
      <c r="K4">
        <v>15</v>
      </c>
      <c r="L4">
        <v>2000</v>
      </c>
      <c r="M4">
        <v>2015</v>
      </c>
      <c r="N4" t="s">
        <v>140</v>
      </c>
      <c r="O4" s="4" t="s">
        <v>685</v>
      </c>
      <c r="P4" t="s">
        <v>811</v>
      </c>
      <c r="Q4" t="s">
        <v>812</v>
      </c>
      <c r="S4" s="2" t="s">
        <v>688</v>
      </c>
    </row>
    <row r="5" spans="1:20">
      <c r="A5">
        <v>0.05</v>
      </c>
      <c r="B5" t="s">
        <v>158</v>
      </c>
      <c r="C5">
        <v>31.565592805918602</v>
      </c>
      <c r="D5" s="9">
        <v>117.658255149897</v>
      </c>
      <c r="E5" t="s">
        <v>47</v>
      </c>
      <c r="F5" t="s">
        <v>159</v>
      </c>
      <c r="G5" t="s">
        <v>84</v>
      </c>
      <c r="H5" t="s">
        <v>30</v>
      </c>
      <c r="I5" t="s">
        <v>40</v>
      </c>
      <c r="J5">
        <v>1</v>
      </c>
      <c r="K5">
        <f t="shared" ref="K5:K11" si="0">M5-L5</f>
        <v>36</v>
      </c>
      <c r="L5">
        <v>1980</v>
      </c>
      <c r="M5">
        <v>2016</v>
      </c>
      <c r="N5" t="s">
        <v>140</v>
      </c>
      <c r="O5" s="4" t="s">
        <v>1266</v>
      </c>
      <c r="P5" t="s">
        <v>161</v>
      </c>
      <c r="Q5" t="s">
        <v>162</v>
      </c>
      <c r="R5" t="s">
        <v>163</v>
      </c>
      <c r="S5" s="2" t="s">
        <v>164</v>
      </c>
      <c r="T5" t="s">
        <v>335</v>
      </c>
    </row>
    <row r="6" spans="1:20">
      <c r="A6">
        <v>0.03</v>
      </c>
      <c r="B6" t="s">
        <v>166</v>
      </c>
      <c r="C6">
        <v>43.369140428149798</v>
      </c>
      <c r="D6">
        <v>-87.119313748859597</v>
      </c>
      <c r="E6" t="s">
        <v>47</v>
      </c>
      <c r="F6" t="s">
        <v>167</v>
      </c>
      <c r="G6" t="s">
        <v>84</v>
      </c>
      <c r="H6" t="s">
        <v>30</v>
      </c>
      <c r="I6" t="s">
        <v>40</v>
      </c>
      <c r="J6">
        <v>1</v>
      </c>
      <c r="K6">
        <f t="shared" si="0"/>
        <v>13</v>
      </c>
      <c r="L6">
        <v>2003</v>
      </c>
      <c r="M6">
        <v>2016</v>
      </c>
      <c r="N6" t="s">
        <v>140</v>
      </c>
      <c r="O6" s="4" t="s">
        <v>170</v>
      </c>
      <c r="P6" t="s">
        <v>171</v>
      </c>
      <c r="Q6" t="s">
        <v>812</v>
      </c>
      <c r="R6" t="s">
        <v>173</v>
      </c>
      <c r="S6" s="2" t="s">
        <v>174</v>
      </c>
    </row>
    <row r="7" spans="1:20">
      <c r="A7">
        <v>-0.03</v>
      </c>
      <c r="B7" t="s">
        <v>175</v>
      </c>
      <c r="C7">
        <v>26.952503469258499</v>
      </c>
      <c r="D7">
        <v>-80.8176710733824</v>
      </c>
      <c r="E7" t="s">
        <v>47</v>
      </c>
      <c r="F7" t="s">
        <v>167</v>
      </c>
      <c r="G7" t="s">
        <v>84</v>
      </c>
      <c r="H7" t="s">
        <v>30</v>
      </c>
      <c r="I7" t="s">
        <v>40</v>
      </c>
      <c r="J7">
        <v>1</v>
      </c>
      <c r="K7">
        <f t="shared" si="0"/>
        <v>13</v>
      </c>
      <c r="L7">
        <v>2003</v>
      </c>
      <c r="M7">
        <v>2016</v>
      </c>
      <c r="N7" t="s">
        <v>140</v>
      </c>
      <c r="O7" s="4" t="s">
        <v>170</v>
      </c>
      <c r="P7" t="s">
        <v>171</v>
      </c>
      <c r="Q7" t="s">
        <v>812</v>
      </c>
      <c r="R7" t="s">
        <v>173</v>
      </c>
      <c r="S7" s="2" t="s">
        <v>174</v>
      </c>
    </row>
    <row r="8" spans="1:20">
      <c r="A8">
        <v>0.02</v>
      </c>
      <c r="B8" t="s">
        <v>176</v>
      </c>
      <c r="C8">
        <v>43.207544751853398</v>
      </c>
      <c r="D8">
        <v>-75.922386118070307</v>
      </c>
      <c r="E8" t="s">
        <v>47</v>
      </c>
      <c r="F8" t="s">
        <v>167</v>
      </c>
      <c r="G8" t="s">
        <v>84</v>
      </c>
      <c r="H8" t="s">
        <v>30</v>
      </c>
      <c r="I8" t="s">
        <v>40</v>
      </c>
      <c r="J8">
        <v>1</v>
      </c>
      <c r="K8">
        <f t="shared" si="0"/>
        <v>13</v>
      </c>
      <c r="L8">
        <v>2003</v>
      </c>
      <c r="M8">
        <v>2016</v>
      </c>
      <c r="N8" t="s">
        <v>140</v>
      </c>
      <c r="O8" s="4" t="s">
        <v>170</v>
      </c>
      <c r="P8" t="s">
        <v>171</v>
      </c>
      <c r="Q8" t="s">
        <v>812</v>
      </c>
      <c r="R8" t="s">
        <v>173</v>
      </c>
      <c r="S8" s="2" t="s">
        <v>174</v>
      </c>
    </row>
    <row r="9" spans="1:20" ht="28.8">
      <c r="A9">
        <v>3.5000000000000003E-2</v>
      </c>
      <c r="B9" t="s">
        <v>60</v>
      </c>
      <c r="C9">
        <v>50.638257094685997</v>
      </c>
      <c r="D9" s="9">
        <v>9.2391165065110705</v>
      </c>
      <c r="E9" t="s">
        <v>37</v>
      </c>
      <c r="F9" s="10" t="s">
        <v>177</v>
      </c>
      <c r="G9" t="s">
        <v>84</v>
      </c>
      <c r="H9" t="s">
        <v>137</v>
      </c>
      <c r="I9" t="s">
        <v>31</v>
      </c>
      <c r="J9">
        <v>8</v>
      </c>
      <c r="K9">
        <f t="shared" si="0"/>
        <v>41</v>
      </c>
      <c r="L9">
        <v>1973</v>
      </c>
      <c r="M9">
        <v>2014</v>
      </c>
      <c r="N9" t="s">
        <v>140</v>
      </c>
      <c r="O9" s="4" t="s">
        <v>178</v>
      </c>
      <c r="P9" t="s">
        <v>813</v>
      </c>
      <c r="Q9" t="s">
        <v>275</v>
      </c>
      <c r="S9" s="2" t="s">
        <v>181</v>
      </c>
    </row>
    <row r="10" spans="1:20">
      <c r="A10">
        <v>3.2000000000000001E-2</v>
      </c>
      <c r="B10" t="s">
        <v>60</v>
      </c>
      <c r="C10">
        <v>50.638257094685997</v>
      </c>
      <c r="D10" s="9">
        <v>9.2391165065110705</v>
      </c>
      <c r="E10" t="s">
        <v>37</v>
      </c>
      <c r="F10" t="s">
        <v>177</v>
      </c>
      <c r="G10" t="s">
        <v>84</v>
      </c>
      <c r="H10" t="s">
        <v>30</v>
      </c>
      <c r="I10" t="s">
        <v>31</v>
      </c>
      <c r="J10">
        <v>8</v>
      </c>
      <c r="K10">
        <f t="shared" si="0"/>
        <v>41</v>
      </c>
      <c r="L10">
        <v>1973</v>
      </c>
      <c r="M10">
        <v>2014</v>
      </c>
      <c r="N10" t="s">
        <v>140</v>
      </c>
      <c r="O10" s="4" t="s">
        <v>178</v>
      </c>
      <c r="P10" t="s">
        <v>813</v>
      </c>
      <c r="Q10" t="s">
        <v>275</v>
      </c>
      <c r="S10" s="2" t="s">
        <v>181</v>
      </c>
    </row>
    <row r="11" spans="1:20">
      <c r="A11">
        <v>5.8999999999999997E-2</v>
      </c>
      <c r="B11" t="s">
        <v>184</v>
      </c>
      <c r="C11">
        <v>31.208251638019</v>
      </c>
      <c r="D11" s="9">
        <v>120.159551563771</v>
      </c>
      <c r="E11" t="s">
        <v>47</v>
      </c>
      <c r="F11" t="s">
        <v>185</v>
      </c>
      <c r="G11" t="s">
        <v>84</v>
      </c>
      <c r="H11" t="s">
        <v>30</v>
      </c>
      <c r="I11" t="s">
        <v>31</v>
      </c>
      <c r="J11">
        <v>1</v>
      </c>
      <c r="K11">
        <f t="shared" si="0"/>
        <v>11</v>
      </c>
      <c r="L11">
        <v>2002</v>
      </c>
      <c r="M11">
        <v>2013</v>
      </c>
      <c r="N11" t="s">
        <v>140</v>
      </c>
      <c r="O11" s="4" t="s">
        <v>188</v>
      </c>
      <c r="P11" t="s">
        <v>189</v>
      </c>
      <c r="Q11" t="s">
        <v>190</v>
      </c>
      <c r="R11" t="s">
        <v>191</v>
      </c>
      <c r="S11" s="2" t="s">
        <v>192</v>
      </c>
    </row>
    <row r="12" spans="1:20">
      <c r="A12">
        <v>0.01</v>
      </c>
      <c r="B12" t="s">
        <v>194</v>
      </c>
      <c r="C12">
        <v>71.376999999999995</v>
      </c>
      <c r="D12">
        <v>-75.093000000000004</v>
      </c>
      <c r="E12" t="s">
        <v>47</v>
      </c>
      <c r="F12" t="s">
        <v>177</v>
      </c>
      <c r="G12" t="s">
        <v>29</v>
      </c>
      <c r="H12" t="s">
        <v>195</v>
      </c>
      <c r="I12" t="s">
        <v>31</v>
      </c>
      <c r="J12">
        <v>1</v>
      </c>
      <c r="K12">
        <f t="shared" ref="K12:K21" si="1">M12-L12</f>
        <v>26</v>
      </c>
      <c r="L12">
        <v>1988</v>
      </c>
      <c r="M12">
        <v>2014</v>
      </c>
      <c r="N12" t="s">
        <v>140</v>
      </c>
      <c r="O12" s="14" t="s">
        <v>197</v>
      </c>
      <c r="P12" t="s">
        <v>814</v>
      </c>
      <c r="Q12" t="s">
        <v>815</v>
      </c>
      <c r="R12" t="s">
        <v>200</v>
      </c>
      <c r="S12" s="2" t="s">
        <v>201</v>
      </c>
    </row>
    <row r="13" spans="1:20" ht="28.8">
      <c r="A13">
        <v>7.6999999999999999E-2</v>
      </c>
      <c r="B13" t="s">
        <v>203</v>
      </c>
      <c r="C13">
        <v>41.381999999999998</v>
      </c>
      <c r="D13">
        <v>-75.292000000000002</v>
      </c>
      <c r="E13" t="s">
        <v>47</v>
      </c>
      <c r="F13" s="10" t="s">
        <v>177</v>
      </c>
      <c r="G13" t="s">
        <v>29</v>
      </c>
      <c r="H13" t="s">
        <v>195</v>
      </c>
      <c r="I13" t="s">
        <v>31</v>
      </c>
      <c r="J13">
        <v>1</v>
      </c>
      <c r="K13">
        <f t="shared" si="1"/>
        <v>26</v>
      </c>
      <c r="L13">
        <v>1988</v>
      </c>
      <c r="M13">
        <v>2014</v>
      </c>
      <c r="N13" t="s">
        <v>140</v>
      </c>
      <c r="O13" s="14" t="s">
        <v>197</v>
      </c>
      <c r="P13" t="s">
        <v>814</v>
      </c>
      <c r="Q13" t="s">
        <v>815</v>
      </c>
      <c r="R13" t="s">
        <v>200</v>
      </c>
      <c r="S13" s="2" t="s">
        <v>201</v>
      </c>
    </row>
    <row r="14" spans="1:20">
      <c r="A14">
        <v>3.2000000000000001E-2</v>
      </c>
      <c r="B14" t="s">
        <v>70</v>
      </c>
      <c r="C14">
        <v>34</v>
      </c>
      <c r="D14">
        <v>79</v>
      </c>
      <c r="E14" t="s">
        <v>37</v>
      </c>
      <c r="F14" t="s">
        <v>204</v>
      </c>
      <c r="G14" t="s">
        <v>84</v>
      </c>
      <c r="H14" t="s">
        <v>30</v>
      </c>
      <c r="I14" t="s">
        <v>31</v>
      </c>
      <c r="J14">
        <v>81</v>
      </c>
      <c r="K14">
        <f t="shared" si="1"/>
        <v>38</v>
      </c>
      <c r="L14">
        <v>1980</v>
      </c>
      <c r="M14">
        <v>2018</v>
      </c>
      <c r="N14" t="s">
        <v>140</v>
      </c>
      <c r="O14" s="14" t="s">
        <v>1267</v>
      </c>
      <c r="P14" t="s">
        <v>816</v>
      </c>
      <c r="Q14" t="s">
        <v>208</v>
      </c>
      <c r="R14" t="s">
        <v>209</v>
      </c>
      <c r="S14" s="2" t="s">
        <v>210</v>
      </c>
      <c r="T14" t="s">
        <v>211</v>
      </c>
    </row>
    <row r="15" spans="1:20">
      <c r="A15">
        <v>0.04</v>
      </c>
      <c r="B15" t="s">
        <v>82</v>
      </c>
      <c r="C15">
        <v>35</v>
      </c>
      <c r="D15">
        <v>105</v>
      </c>
      <c r="E15" t="s">
        <v>37</v>
      </c>
      <c r="F15" t="s">
        <v>213</v>
      </c>
      <c r="G15" t="s">
        <v>29</v>
      </c>
      <c r="H15" t="s">
        <v>30</v>
      </c>
      <c r="I15" t="s">
        <v>40</v>
      </c>
      <c r="J15">
        <v>91</v>
      </c>
      <c r="K15">
        <f t="shared" si="1"/>
        <v>39</v>
      </c>
      <c r="L15">
        <v>1979</v>
      </c>
      <c r="M15">
        <v>2018</v>
      </c>
      <c r="N15" t="s">
        <v>140</v>
      </c>
      <c r="O15" s="14" t="s">
        <v>214</v>
      </c>
      <c r="P15" t="s">
        <v>808</v>
      </c>
      <c r="Q15" t="s">
        <v>143</v>
      </c>
      <c r="S15" s="2" t="s">
        <v>217</v>
      </c>
      <c r="T15" t="s">
        <v>211</v>
      </c>
    </row>
    <row r="16" spans="1:20">
      <c r="A16">
        <v>2.4E-2</v>
      </c>
      <c r="B16" t="s">
        <v>26</v>
      </c>
      <c r="C16">
        <v>16.162417289060901</v>
      </c>
      <c r="D16" s="9">
        <v>-168.28374717017101</v>
      </c>
      <c r="E16" t="s">
        <v>26</v>
      </c>
      <c r="F16" t="s">
        <v>213</v>
      </c>
      <c r="G16" t="s">
        <v>84</v>
      </c>
      <c r="H16" t="s">
        <v>30</v>
      </c>
      <c r="I16" t="s">
        <v>40</v>
      </c>
      <c r="J16">
        <v>92245</v>
      </c>
      <c r="K16">
        <f t="shared" si="1"/>
        <v>39</v>
      </c>
      <c r="L16">
        <v>1981</v>
      </c>
      <c r="M16">
        <v>2020</v>
      </c>
      <c r="N16" t="s">
        <v>140</v>
      </c>
      <c r="O16" s="14" t="s">
        <v>221</v>
      </c>
      <c r="P16" t="s">
        <v>222</v>
      </c>
      <c r="Q16" t="s">
        <v>223</v>
      </c>
      <c r="S16" s="2" t="s">
        <v>224</v>
      </c>
    </row>
    <row r="17" spans="1:19">
      <c r="A17">
        <v>4.5999999999999999E-2</v>
      </c>
      <c r="B17" t="s">
        <v>225</v>
      </c>
      <c r="C17">
        <v>47.6136432470812</v>
      </c>
      <c r="D17" s="9">
        <v>9.3988715367677091</v>
      </c>
      <c r="E17" t="s">
        <v>47</v>
      </c>
      <c r="F17" t="s">
        <v>177</v>
      </c>
      <c r="G17" t="s">
        <v>84</v>
      </c>
      <c r="H17" t="s">
        <v>30</v>
      </c>
      <c r="I17" t="s">
        <v>40</v>
      </c>
      <c r="J17">
        <v>1</v>
      </c>
      <c r="K17">
        <f t="shared" si="1"/>
        <v>30</v>
      </c>
      <c r="L17">
        <v>1981</v>
      </c>
      <c r="M17">
        <v>2011</v>
      </c>
      <c r="N17" t="s">
        <v>226</v>
      </c>
      <c r="O17" s="14" t="s">
        <v>227</v>
      </c>
      <c r="P17" t="s">
        <v>228</v>
      </c>
      <c r="Q17" t="s">
        <v>229</v>
      </c>
      <c r="R17" t="s">
        <v>230</v>
      </c>
      <c r="S17" s="2" t="s">
        <v>231</v>
      </c>
    </row>
    <row r="18" spans="1:19">
      <c r="A18">
        <v>0.1</v>
      </c>
      <c r="B18" t="s">
        <v>70</v>
      </c>
      <c r="C18">
        <v>34</v>
      </c>
      <c r="D18">
        <v>86</v>
      </c>
      <c r="E18" t="s">
        <v>37</v>
      </c>
      <c r="F18" t="s">
        <v>232</v>
      </c>
      <c r="G18" t="s">
        <v>29</v>
      </c>
      <c r="H18" t="s">
        <v>30</v>
      </c>
      <c r="I18" t="s">
        <v>40</v>
      </c>
      <c r="J18">
        <v>298</v>
      </c>
      <c r="K18">
        <f t="shared" si="1"/>
        <v>22</v>
      </c>
      <c r="L18">
        <v>2000</v>
      </c>
      <c r="M18">
        <v>2022</v>
      </c>
      <c r="N18" t="s">
        <v>226</v>
      </c>
      <c r="O18" s="14" t="s">
        <v>233</v>
      </c>
      <c r="P18" t="s">
        <v>234</v>
      </c>
      <c r="Q18" t="s">
        <v>235</v>
      </c>
      <c r="R18" t="s">
        <v>236</v>
      </c>
      <c r="S18" s="2" t="s">
        <v>237</v>
      </c>
    </row>
    <row r="19" spans="1:19">
      <c r="A19">
        <v>0.05</v>
      </c>
      <c r="B19" t="s">
        <v>70</v>
      </c>
      <c r="C19">
        <v>34</v>
      </c>
      <c r="D19">
        <v>86</v>
      </c>
      <c r="E19" t="s">
        <v>37</v>
      </c>
      <c r="F19" t="s">
        <v>232</v>
      </c>
      <c r="G19" t="s">
        <v>29</v>
      </c>
      <c r="H19" t="s">
        <v>30</v>
      </c>
      <c r="I19" t="s">
        <v>31</v>
      </c>
      <c r="J19">
        <v>298</v>
      </c>
      <c r="K19">
        <f t="shared" si="1"/>
        <v>22</v>
      </c>
      <c r="L19">
        <v>2000</v>
      </c>
      <c r="M19">
        <v>2022</v>
      </c>
      <c r="N19" t="s">
        <v>226</v>
      </c>
      <c r="O19" s="14" t="s">
        <v>233</v>
      </c>
      <c r="P19" t="s">
        <v>234</v>
      </c>
      <c r="Q19" t="s">
        <v>235</v>
      </c>
      <c r="R19" t="s">
        <v>238</v>
      </c>
      <c r="S19" s="2" t="s">
        <v>237</v>
      </c>
    </row>
    <row r="20" spans="1:19">
      <c r="A20">
        <v>-0.08</v>
      </c>
      <c r="B20" t="s">
        <v>70</v>
      </c>
      <c r="C20">
        <v>34</v>
      </c>
      <c r="D20">
        <v>86</v>
      </c>
      <c r="E20" t="s">
        <v>37</v>
      </c>
      <c r="F20" t="s">
        <v>232</v>
      </c>
      <c r="G20" t="s">
        <v>29</v>
      </c>
      <c r="H20" t="s">
        <v>30</v>
      </c>
      <c r="I20" t="s">
        <v>73</v>
      </c>
      <c r="J20">
        <v>298</v>
      </c>
      <c r="K20">
        <f t="shared" si="1"/>
        <v>22</v>
      </c>
      <c r="L20">
        <v>2000</v>
      </c>
      <c r="M20">
        <v>2022</v>
      </c>
      <c r="N20" t="s">
        <v>226</v>
      </c>
      <c r="O20" s="14" t="s">
        <v>233</v>
      </c>
      <c r="P20" t="s">
        <v>234</v>
      </c>
      <c r="Q20" t="s">
        <v>235</v>
      </c>
      <c r="R20" t="s">
        <v>238</v>
      </c>
      <c r="S20" s="2" t="s">
        <v>237</v>
      </c>
    </row>
    <row r="21" spans="1:19">
      <c r="A21">
        <v>0.19</v>
      </c>
      <c r="B21" t="s">
        <v>70</v>
      </c>
      <c r="C21">
        <v>34</v>
      </c>
      <c r="D21">
        <v>86</v>
      </c>
      <c r="E21" t="s">
        <v>37</v>
      </c>
      <c r="F21" t="s">
        <v>232</v>
      </c>
      <c r="G21" t="s">
        <v>29</v>
      </c>
      <c r="H21" t="s">
        <v>30</v>
      </c>
      <c r="I21" t="s">
        <v>81</v>
      </c>
      <c r="J21">
        <v>298</v>
      </c>
      <c r="K21">
        <f t="shared" si="1"/>
        <v>22</v>
      </c>
      <c r="L21">
        <v>2000</v>
      </c>
      <c r="M21">
        <v>2022</v>
      </c>
      <c r="N21" t="s">
        <v>226</v>
      </c>
      <c r="O21" s="14" t="s">
        <v>233</v>
      </c>
      <c r="P21" t="s">
        <v>234</v>
      </c>
      <c r="Q21" t="s">
        <v>235</v>
      </c>
      <c r="R21" t="s">
        <v>238</v>
      </c>
      <c r="S21" s="2" t="s">
        <v>237</v>
      </c>
    </row>
    <row r="22" spans="1:19">
      <c r="A22">
        <v>0.4</v>
      </c>
      <c r="B22" t="s">
        <v>70</v>
      </c>
      <c r="C22">
        <v>34</v>
      </c>
      <c r="D22">
        <v>86</v>
      </c>
      <c r="E22" t="s">
        <v>37</v>
      </c>
      <c r="F22" t="s">
        <v>232</v>
      </c>
      <c r="G22" t="s">
        <v>29</v>
      </c>
      <c r="H22" t="s">
        <v>30</v>
      </c>
      <c r="I22" t="s">
        <v>80</v>
      </c>
      <c r="J22">
        <v>298</v>
      </c>
      <c r="K22">
        <f t="shared" ref="K22:K25" si="2">M22-L22</f>
        <v>22</v>
      </c>
      <c r="L22">
        <v>2000</v>
      </c>
      <c r="M22">
        <v>2022</v>
      </c>
      <c r="N22" t="s">
        <v>226</v>
      </c>
      <c r="O22" s="14" t="s">
        <v>233</v>
      </c>
      <c r="P22" t="s">
        <v>234</v>
      </c>
      <c r="Q22" t="s">
        <v>235</v>
      </c>
      <c r="R22" t="s">
        <v>238</v>
      </c>
      <c r="S22" s="2" t="s">
        <v>237</v>
      </c>
    </row>
    <row r="23" spans="1:19">
      <c r="A23">
        <v>0.01</v>
      </c>
      <c r="B23" t="s">
        <v>817</v>
      </c>
      <c r="C23">
        <v>37</v>
      </c>
      <c r="D23">
        <v>-71.5</v>
      </c>
      <c r="E23" t="s">
        <v>37</v>
      </c>
      <c r="F23" t="s">
        <v>185</v>
      </c>
      <c r="G23" t="s">
        <v>818</v>
      </c>
      <c r="H23" t="s">
        <v>30</v>
      </c>
      <c r="I23" t="s">
        <v>40</v>
      </c>
      <c r="J23">
        <v>14</v>
      </c>
      <c r="K23">
        <f t="shared" si="2"/>
        <v>16</v>
      </c>
      <c r="L23">
        <v>2000</v>
      </c>
      <c r="M23">
        <v>2016</v>
      </c>
      <c r="N23" t="s">
        <v>226</v>
      </c>
      <c r="O23" s="14" t="s">
        <v>241</v>
      </c>
      <c r="P23" t="s">
        <v>242</v>
      </c>
      <c r="Q23" t="s">
        <v>812</v>
      </c>
      <c r="R23" t="s">
        <v>243</v>
      </c>
      <c r="S23" s="2" t="s">
        <v>244</v>
      </c>
    </row>
    <row r="24" spans="1:19">
      <c r="A24">
        <v>7.3999999999999996E-2</v>
      </c>
      <c r="B24" t="s">
        <v>819</v>
      </c>
      <c r="C24">
        <v>36.961645143015197</v>
      </c>
      <c r="D24" s="9">
        <v>100.17698339147699</v>
      </c>
      <c r="E24" t="s">
        <v>47</v>
      </c>
      <c r="F24" t="s">
        <v>213</v>
      </c>
      <c r="G24" t="s">
        <v>84</v>
      </c>
      <c r="H24" t="s">
        <v>30</v>
      </c>
      <c r="I24" t="s">
        <v>40</v>
      </c>
      <c r="J24">
        <v>1</v>
      </c>
      <c r="K24">
        <f t="shared" si="2"/>
        <v>33</v>
      </c>
      <c r="L24">
        <v>1979</v>
      </c>
      <c r="M24">
        <v>2012</v>
      </c>
      <c r="N24" t="s">
        <v>226</v>
      </c>
      <c r="O24" s="14" t="s">
        <v>820</v>
      </c>
      <c r="P24" t="s">
        <v>247</v>
      </c>
      <c r="Q24" t="s">
        <v>248</v>
      </c>
      <c r="R24" t="s">
        <v>249</v>
      </c>
      <c r="S24" s="2" t="s">
        <v>250</v>
      </c>
    </row>
    <row r="25" spans="1:19">
      <c r="A25">
        <v>3.3000000000000002E-2</v>
      </c>
      <c r="B25" t="s">
        <v>252</v>
      </c>
      <c r="C25">
        <v>44.888917318150497</v>
      </c>
      <c r="D25">
        <v>-13.5323455981917</v>
      </c>
      <c r="E25" t="s">
        <v>37</v>
      </c>
      <c r="F25" t="s">
        <v>213</v>
      </c>
      <c r="G25" t="s">
        <v>84</v>
      </c>
      <c r="H25" t="s">
        <v>30</v>
      </c>
      <c r="I25" t="s">
        <v>31</v>
      </c>
      <c r="J25">
        <v>422</v>
      </c>
      <c r="K25">
        <f t="shared" si="2"/>
        <v>36</v>
      </c>
      <c r="L25">
        <v>1980</v>
      </c>
      <c r="M25">
        <v>2016</v>
      </c>
      <c r="N25" t="s">
        <v>226</v>
      </c>
      <c r="O25" s="14" t="s">
        <v>253</v>
      </c>
      <c r="P25" t="s">
        <v>813</v>
      </c>
      <c r="Q25" t="s">
        <v>76</v>
      </c>
      <c r="S25" s="2" t="s">
        <v>256</v>
      </c>
    </row>
    <row r="26" spans="1:19">
      <c r="O26" s="14"/>
      <c r="S26" s="2"/>
    </row>
    <row r="27" spans="1:19">
      <c r="O27" s="14"/>
      <c r="S27" s="2"/>
    </row>
    <row r="28" spans="1:19">
      <c r="O28" s="14"/>
      <c r="S28" s="2"/>
    </row>
    <row r="31" spans="1:19">
      <c r="A31" t="s">
        <v>1268</v>
      </c>
      <c r="B31" t="s">
        <v>1269</v>
      </c>
      <c r="C31" t="s">
        <v>1270</v>
      </c>
      <c r="G31" s="13" t="s">
        <v>1271</v>
      </c>
    </row>
    <row r="32" spans="1:19" s="44" customFormat="1">
      <c r="A32" s="43" t="s">
        <v>1272</v>
      </c>
      <c r="B32" s="44" t="s">
        <v>1273</v>
      </c>
      <c r="C32" s="44" t="s">
        <v>1274</v>
      </c>
    </row>
    <row r="33" spans="1:4" s="44" customFormat="1">
      <c r="A33" s="43" t="s">
        <v>1275</v>
      </c>
      <c r="B33" s="44" t="s">
        <v>1276</v>
      </c>
      <c r="C33" s="44" t="s">
        <v>1274</v>
      </c>
    </row>
    <row r="34" spans="1:4" s="44" customFormat="1">
      <c r="A34" s="43" t="s">
        <v>1277</v>
      </c>
      <c r="B34" s="44" t="s">
        <v>1278</v>
      </c>
      <c r="C34" s="44" t="s">
        <v>1274</v>
      </c>
    </row>
    <row r="35" spans="1:4" s="44" customFormat="1">
      <c r="A35" s="43" t="s">
        <v>1279</v>
      </c>
      <c r="B35" s="44" t="s">
        <v>1280</v>
      </c>
      <c r="C35" s="44" t="s">
        <v>1274</v>
      </c>
    </row>
    <row r="36" spans="1:4">
      <c r="A36" s="14" t="s">
        <v>888</v>
      </c>
      <c r="B36" t="s">
        <v>1281</v>
      </c>
      <c r="C36" t="s">
        <v>1282</v>
      </c>
    </row>
    <row r="37" spans="1:4">
      <c r="A37" s="14" t="s">
        <v>1283</v>
      </c>
      <c r="B37" t="s">
        <v>1284</v>
      </c>
      <c r="C37" t="s">
        <v>1285</v>
      </c>
    </row>
    <row r="38" spans="1:4">
      <c r="A38" s="14" t="s">
        <v>1286</v>
      </c>
      <c r="B38" t="s">
        <v>1284</v>
      </c>
      <c r="C38" t="s">
        <v>1284</v>
      </c>
    </row>
    <row r="39" spans="1:4">
      <c r="A39" s="14" t="s">
        <v>1287</v>
      </c>
      <c r="B39" t="s">
        <v>1284</v>
      </c>
      <c r="D39" t="s">
        <v>1288</v>
      </c>
    </row>
    <row r="40" spans="1:4" s="44" customFormat="1">
      <c r="A40" s="43" t="s">
        <v>1289</v>
      </c>
      <c r="B40" s="44" t="s">
        <v>1284</v>
      </c>
      <c r="C40" s="44" t="s">
        <v>1274</v>
      </c>
    </row>
    <row r="41" spans="1:4" s="44" customFormat="1">
      <c r="A41" s="43" t="s">
        <v>1290</v>
      </c>
      <c r="B41" s="44" t="s">
        <v>1291</v>
      </c>
    </row>
    <row r="42" spans="1:4" s="44" customFormat="1">
      <c r="A42" s="43" t="s">
        <v>1292</v>
      </c>
      <c r="B42" s="44" t="s">
        <v>1293</v>
      </c>
    </row>
    <row r="43" spans="1:4">
      <c r="A43" s="14" t="s">
        <v>1294</v>
      </c>
      <c r="B43" t="s">
        <v>1293</v>
      </c>
      <c r="C43" t="s">
        <v>1284</v>
      </c>
    </row>
    <row r="44" spans="1:4">
      <c r="A44" s="14" t="s">
        <v>1295</v>
      </c>
      <c r="B44" t="s">
        <v>1293</v>
      </c>
      <c r="C44" t="s">
        <v>1284</v>
      </c>
    </row>
    <row r="45" spans="1:4" s="44" customFormat="1">
      <c r="A45" s="43" t="s">
        <v>1296</v>
      </c>
      <c r="B45" s="44" t="s">
        <v>1293</v>
      </c>
      <c r="C45" s="44" t="s">
        <v>1274</v>
      </c>
    </row>
    <row r="46" spans="1:4">
      <c r="A46" s="14" t="s">
        <v>1297</v>
      </c>
      <c r="B46" t="s">
        <v>1298</v>
      </c>
      <c r="C46" t="s">
        <v>1299</v>
      </c>
    </row>
    <row r="47" spans="1:4">
      <c r="A47" s="14" t="s">
        <v>1300</v>
      </c>
      <c r="B47" t="s">
        <v>1301</v>
      </c>
      <c r="C47" t="s">
        <v>1284</v>
      </c>
    </row>
    <row r="48" spans="1:4">
      <c r="A48" s="14" t="s">
        <v>1302</v>
      </c>
      <c r="B48" t="s">
        <v>1284</v>
      </c>
      <c r="C48" t="s">
        <v>1284</v>
      </c>
    </row>
    <row r="49" spans="1:3">
      <c r="A49" s="14" t="s">
        <v>1303</v>
      </c>
      <c r="B49" t="s">
        <v>1284</v>
      </c>
      <c r="C49" t="s">
        <v>1284</v>
      </c>
    </row>
    <row r="50" spans="1:3" s="44" customFormat="1">
      <c r="A50" s="43" t="s">
        <v>1304</v>
      </c>
      <c r="B50" s="44" t="s">
        <v>1305</v>
      </c>
    </row>
    <row r="51" spans="1:3">
      <c r="A51" s="14" t="s">
        <v>1306</v>
      </c>
      <c r="B51" t="s">
        <v>1284</v>
      </c>
      <c r="C51" t="s">
        <v>1284</v>
      </c>
    </row>
    <row r="52" spans="1:3" s="44" customFormat="1">
      <c r="A52" s="43" t="s">
        <v>1307</v>
      </c>
      <c r="B52" s="44" t="s">
        <v>1308</v>
      </c>
    </row>
    <row r="53" spans="1:3">
      <c r="A53" s="14" t="s">
        <v>1309</v>
      </c>
      <c r="B53" t="s">
        <v>1284</v>
      </c>
      <c r="C53" t="s">
        <v>1284</v>
      </c>
    </row>
    <row r="54" spans="1:3" s="44" customFormat="1">
      <c r="A54" s="43" t="s">
        <v>1310</v>
      </c>
      <c r="B54" s="44" t="s">
        <v>1298</v>
      </c>
      <c r="C54" s="44" t="s">
        <v>1274</v>
      </c>
    </row>
    <row r="55" spans="1:3">
      <c r="A55" s="14" t="s">
        <v>1311</v>
      </c>
      <c r="B55" t="s">
        <v>1312</v>
      </c>
      <c r="C55" t="s">
        <v>1284</v>
      </c>
    </row>
    <row r="56" spans="1:3">
      <c r="A56" s="14" t="s">
        <v>1313</v>
      </c>
      <c r="B56" t="s">
        <v>1284</v>
      </c>
      <c r="C56" t="s">
        <v>1284</v>
      </c>
    </row>
    <row r="59" spans="1:3">
      <c r="A59" t="s">
        <v>1268</v>
      </c>
      <c r="B59" t="s">
        <v>1314</v>
      </c>
      <c r="C59" t="s">
        <v>1315</v>
      </c>
    </row>
    <row r="60" spans="1:3">
      <c r="A60" s="14" t="s">
        <v>885</v>
      </c>
      <c r="B60" t="s">
        <v>1291</v>
      </c>
    </row>
    <row r="61" spans="1:3" s="44" customFormat="1">
      <c r="A61" s="43" t="s">
        <v>1290</v>
      </c>
      <c r="B61" s="44" t="s">
        <v>1316</v>
      </c>
    </row>
    <row r="62" spans="1:3">
      <c r="A62" s="14" t="s">
        <v>823</v>
      </c>
      <c r="B62" t="s">
        <v>1284</v>
      </c>
    </row>
    <row r="63" spans="1:3">
      <c r="A63" s="14" t="s">
        <v>829</v>
      </c>
      <c r="B63" t="s">
        <v>1312</v>
      </c>
    </row>
    <row r="64" spans="1:3" s="44" customFormat="1">
      <c r="A64" s="43" t="s">
        <v>1317</v>
      </c>
      <c r="B64" s="44" t="s">
        <v>1316</v>
      </c>
    </row>
    <row r="65" spans="1:3" s="44" customFormat="1">
      <c r="A65" s="43" t="s">
        <v>1272</v>
      </c>
      <c r="B65" s="44" t="s">
        <v>1318</v>
      </c>
      <c r="C65" s="44" t="s">
        <v>1319</v>
      </c>
    </row>
    <row r="66" spans="1:3">
      <c r="A66" s="14" t="s">
        <v>1320</v>
      </c>
      <c r="B66" t="s">
        <v>1284</v>
      </c>
    </row>
    <row r="67" spans="1:3">
      <c r="A67" s="14" t="s">
        <v>1321</v>
      </c>
      <c r="B67" t="s">
        <v>1284</v>
      </c>
    </row>
    <row r="68" spans="1:3" s="44" customFormat="1">
      <c r="A68" s="43" t="s">
        <v>1310</v>
      </c>
      <c r="B68" s="44" t="s">
        <v>1316</v>
      </c>
    </row>
    <row r="69" spans="1:3">
      <c r="A69" s="14" t="s">
        <v>1322</v>
      </c>
      <c r="B69" t="s">
        <v>1284</v>
      </c>
    </row>
    <row r="70" spans="1:3" s="44" customFormat="1">
      <c r="A70" s="43" t="s">
        <v>1275</v>
      </c>
      <c r="B70" s="44" t="s">
        <v>1318</v>
      </c>
      <c r="C70" s="44" t="s">
        <v>1319</v>
      </c>
    </row>
    <row r="71" spans="1:3" s="44" customFormat="1">
      <c r="A71" s="43" t="s">
        <v>1304</v>
      </c>
      <c r="B71" s="44" t="s">
        <v>1316</v>
      </c>
    </row>
    <row r="72" spans="1:3">
      <c r="A72" s="14" t="s">
        <v>1323</v>
      </c>
      <c r="B72" t="s">
        <v>1284</v>
      </c>
    </row>
    <row r="73" spans="1:3">
      <c r="A73" s="14" t="s">
        <v>1324</v>
      </c>
      <c r="B73" t="s">
        <v>1325</v>
      </c>
    </row>
    <row r="74" spans="1:3">
      <c r="A74" s="14" t="s">
        <v>1326</v>
      </c>
      <c r="B74" t="s">
        <v>1284</v>
      </c>
    </row>
    <row r="75" spans="1:3">
      <c r="A75" s="14" t="s">
        <v>1327</v>
      </c>
      <c r="B75" t="s">
        <v>1298</v>
      </c>
    </row>
    <row r="76" spans="1:3">
      <c r="A76" s="14" t="s">
        <v>1328</v>
      </c>
      <c r="B76" t="s">
        <v>1312</v>
      </c>
    </row>
    <row r="77" spans="1:3">
      <c r="A77" s="14" t="s">
        <v>1329</v>
      </c>
      <c r="B77" t="s">
        <v>1284</v>
      </c>
    </row>
    <row r="78" spans="1:3" s="44" customFormat="1">
      <c r="A78" s="43" t="s">
        <v>1307</v>
      </c>
      <c r="B78" s="44" t="s">
        <v>1316</v>
      </c>
    </row>
    <row r="79" spans="1:3">
      <c r="A79" s="14" t="s">
        <v>807</v>
      </c>
      <c r="B79" t="s">
        <v>1312</v>
      </c>
    </row>
    <row r="80" spans="1:3" s="44" customFormat="1">
      <c r="A80" s="43" t="s">
        <v>1330</v>
      </c>
      <c r="B80" s="44" t="s">
        <v>1316</v>
      </c>
    </row>
    <row r="81" spans="1:6">
      <c r="A81" s="14" t="s">
        <v>1331</v>
      </c>
      <c r="B81" t="s">
        <v>1298</v>
      </c>
    </row>
    <row r="82" spans="1:6">
      <c r="A82" s="14" t="s">
        <v>1332</v>
      </c>
      <c r="B82" t="s">
        <v>1284</v>
      </c>
    </row>
    <row r="83" spans="1:6">
      <c r="A83" s="14" t="s">
        <v>1333</v>
      </c>
      <c r="B83" t="s">
        <v>1284</v>
      </c>
    </row>
    <row r="84" spans="1:6">
      <c r="A84" s="14" t="s">
        <v>1334</v>
      </c>
      <c r="B84" t="s">
        <v>1284</v>
      </c>
    </row>
    <row r="87" spans="1:6">
      <c r="A87" t="s">
        <v>1335</v>
      </c>
    </row>
    <row r="88" spans="1:6">
      <c r="A88" s="8" t="s">
        <v>975</v>
      </c>
      <c r="B88" s="8" t="s">
        <v>978</v>
      </c>
      <c r="C88" s="8" t="s">
        <v>979</v>
      </c>
      <c r="D88" s="8" t="s">
        <v>981</v>
      </c>
      <c r="E88" s="8" t="s">
        <v>982</v>
      </c>
      <c r="F88" t="s">
        <v>1315</v>
      </c>
    </row>
    <row r="89" spans="1:6">
      <c r="A89" s="8" t="s">
        <v>1336</v>
      </c>
      <c r="B89" s="8" t="s">
        <v>1337</v>
      </c>
      <c r="C89" s="8">
        <v>2010</v>
      </c>
      <c r="D89" s="8" t="s">
        <v>327</v>
      </c>
      <c r="E89" s="8" t="s">
        <v>1338</v>
      </c>
      <c r="F89" s="8" t="s">
        <v>1284</v>
      </c>
    </row>
    <row r="90" spans="1:6">
      <c r="A90" s="8" t="s">
        <v>1339</v>
      </c>
      <c r="B90" s="8" t="s">
        <v>1340</v>
      </c>
      <c r="C90" s="8">
        <v>2020</v>
      </c>
      <c r="D90" s="8" t="s">
        <v>1341</v>
      </c>
      <c r="E90" s="8" t="s">
        <v>1342</v>
      </c>
      <c r="F90" s="8" t="s">
        <v>1284</v>
      </c>
    </row>
    <row r="91" spans="1:6">
      <c r="A91" s="8" t="s">
        <v>1343</v>
      </c>
      <c r="B91" s="8" t="s">
        <v>1344</v>
      </c>
      <c r="C91" s="8">
        <v>2021</v>
      </c>
      <c r="D91" s="8" t="s">
        <v>301</v>
      </c>
      <c r="E91" s="8" t="s">
        <v>1345</v>
      </c>
      <c r="F91" s="8" t="s">
        <v>1284</v>
      </c>
    </row>
    <row r="92" spans="1:6">
      <c r="A92" s="8" t="s">
        <v>1346</v>
      </c>
      <c r="B92" s="8" t="s">
        <v>1347</v>
      </c>
      <c r="C92" s="8">
        <v>2013</v>
      </c>
      <c r="D92" s="8" t="s">
        <v>580</v>
      </c>
      <c r="E92" s="8" t="s">
        <v>1348</v>
      </c>
      <c r="F92" s="8" t="s">
        <v>1284</v>
      </c>
    </row>
    <row r="93" spans="1:6">
      <c r="A93" s="8" t="s">
        <v>1349</v>
      </c>
      <c r="B93" s="8" t="s">
        <v>1350</v>
      </c>
      <c r="C93" s="8">
        <v>2004</v>
      </c>
      <c r="D93" s="8" t="s">
        <v>1351</v>
      </c>
      <c r="E93" s="8" t="s">
        <v>1352</v>
      </c>
      <c r="F93" s="8" t="s">
        <v>1284</v>
      </c>
    </row>
    <row r="94" spans="1:6">
      <c r="A94" s="8" t="s">
        <v>1353</v>
      </c>
      <c r="B94" s="8" t="s">
        <v>1354</v>
      </c>
      <c r="C94" s="8">
        <v>2025</v>
      </c>
      <c r="D94" s="8" t="s">
        <v>1355</v>
      </c>
      <c r="E94" s="8" t="s">
        <v>1356</v>
      </c>
      <c r="F94" s="8" t="s">
        <v>1284</v>
      </c>
    </row>
    <row r="95" spans="1:6">
      <c r="A95" s="8" t="s">
        <v>1357</v>
      </c>
      <c r="B95" s="8" t="s">
        <v>1358</v>
      </c>
      <c r="C95" s="8">
        <v>2018</v>
      </c>
      <c r="D95" s="8" t="s">
        <v>248</v>
      </c>
      <c r="E95" s="8" t="s">
        <v>1359</v>
      </c>
      <c r="F95" s="8" t="s">
        <v>1284</v>
      </c>
    </row>
    <row r="96" spans="1:6">
      <c r="A96" s="8" t="s">
        <v>1360</v>
      </c>
      <c r="B96" s="8" t="s">
        <v>1361</v>
      </c>
      <c r="C96" s="8">
        <v>2022</v>
      </c>
      <c r="D96" s="8" t="s">
        <v>76</v>
      </c>
      <c r="E96" s="8" t="s">
        <v>1362</v>
      </c>
      <c r="F96" s="8" t="s">
        <v>1284</v>
      </c>
    </row>
    <row r="97" spans="1:6">
      <c r="A97" s="8" t="s">
        <v>1363</v>
      </c>
      <c r="B97" s="8" t="s">
        <v>1364</v>
      </c>
      <c r="C97" s="8">
        <v>2002</v>
      </c>
      <c r="D97" s="8" t="s">
        <v>1365</v>
      </c>
      <c r="E97" s="8" t="s">
        <v>1366</v>
      </c>
      <c r="F97" s="8" t="s">
        <v>1284</v>
      </c>
    </row>
    <row r="98" spans="1:6" s="44" customFormat="1">
      <c r="A98" s="45" t="s">
        <v>1367</v>
      </c>
      <c r="B98" s="45" t="s">
        <v>1368</v>
      </c>
      <c r="C98" s="45">
        <v>2020</v>
      </c>
      <c r="D98" s="45" t="s">
        <v>397</v>
      </c>
      <c r="E98" s="45" t="s">
        <v>1369</v>
      </c>
      <c r="F98" s="45"/>
    </row>
    <row r="99" spans="1:6">
      <c r="A99" s="8" t="s">
        <v>1370</v>
      </c>
      <c r="B99" s="8" t="s">
        <v>1371</v>
      </c>
      <c r="C99" s="8">
        <v>2019</v>
      </c>
      <c r="D99" s="8" t="s">
        <v>1372</v>
      </c>
      <c r="E99" s="8" t="s">
        <v>1373</v>
      </c>
      <c r="F99" s="8" t="s">
        <v>1284</v>
      </c>
    </row>
    <row r="100" spans="1:6">
      <c r="A100" s="8" t="s">
        <v>1374</v>
      </c>
      <c r="B100" s="8" t="s">
        <v>1375</v>
      </c>
      <c r="C100" s="8">
        <v>2000</v>
      </c>
      <c r="D100" s="8" t="s">
        <v>1376</v>
      </c>
      <c r="E100" s="8" t="s">
        <v>1377</v>
      </c>
      <c r="F100" s="8" t="s">
        <v>1284</v>
      </c>
    </row>
    <row r="101" spans="1:6">
      <c r="A101" s="8" t="s">
        <v>1378</v>
      </c>
      <c r="B101" s="8" t="s">
        <v>1379</v>
      </c>
      <c r="C101" s="8">
        <v>2024</v>
      </c>
      <c r="D101" s="8" t="s">
        <v>1380</v>
      </c>
      <c r="E101" s="8" t="s">
        <v>1381</v>
      </c>
      <c r="F101" s="8" t="s">
        <v>1284</v>
      </c>
    </row>
    <row r="102" spans="1:6" s="44" customFormat="1">
      <c r="A102" s="45" t="s">
        <v>1382</v>
      </c>
      <c r="B102" s="45" t="s">
        <v>1383</v>
      </c>
      <c r="C102" s="45">
        <v>2014</v>
      </c>
      <c r="D102" s="45" t="s">
        <v>229</v>
      </c>
      <c r="E102" s="45" t="s">
        <v>1384</v>
      </c>
      <c r="F102" s="45" t="s">
        <v>1274</v>
      </c>
    </row>
    <row r="103" spans="1:6">
      <c r="A103" s="8" t="s">
        <v>1385</v>
      </c>
      <c r="B103" s="8" t="s">
        <v>1386</v>
      </c>
      <c r="C103" s="8">
        <v>2010</v>
      </c>
      <c r="D103" s="8" t="s">
        <v>1376</v>
      </c>
      <c r="E103" s="8" t="s">
        <v>1387</v>
      </c>
      <c r="F103" s="8" t="s">
        <v>1284</v>
      </c>
    </row>
    <row r="104" spans="1:6">
      <c r="A104" s="8" t="s">
        <v>1388</v>
      </c>
      <c r="B104" s="8" t="s">
        <v>1389</v>
      </c>
      <c r="C104" s="8">
        <v>2021</v>
      </c>
      <c r="D104" s="8" t="s">
        <v>1390</v>
      </c>
      <c r="E104" s="8" t="s">
        <v>1391</v>
      </c>
      <c r="F104" s="8" t="s">
        <v>1284</v>
      </c>
    </row>
    <row r="105" spans="1:6">
      <c r="A105" s="8" t="s">
        <v>1392</v>
      </c>
      <c r="B105" s="8" t="s">
        <v>1393</v>
      </c>
      <c r="C105" s="8">
        <v>2021</v>
      </c>
      <c r="D105" s="8" t="s">
        <v>1394</v>
      </c>
      <c r="E105" s="8" t="s">
        <v>1395</v>
      </c>
      <c r="F105" s="8" t="s">
        <v>1396</v>
      </c>
    </row>
    <row r="106" spans="1:6">
      <c r="A106" s="8" t="s">
        <v>1397</v>
      </c>
      <c r="B106" s="8" t="s">
        <v>1398</v>
      </c>
      <c r="C106" s="8">
        <v>2016</v>
      </c>
      <c r="D106" s="8" t="s">
        <v>1399</v>
      </c>
      <c r="E106" s="8" t="s">
        <v>1400</v>
      </c>
      <c r="F106" s="8" t="s">
        <v>1284</v>
      </c>
    </row>
    <row r="107" spans="1:6" s="44" customFormat="1">
      <c r="A107" s="45" t="s">
        <v>1401</v>
      </c>
      <c r="B107" s="45" t="s">
        <v>1402</v>
      </c>
      <c r="C107" s="45">
        <v>2016</v>
      </c>
      <c r="D107" s="45" t="s">
        <v>172</v>
      </c>
      <c r="E107" s="45" t="s">
        <v>1403</v>
      </c>
      <c r="F107" s="45"/>
    </row>
    <row r="108" spans="1:6">
      <c r="A108" s="8" t="s">
        <v>1404</v>
      </c>
      <c r="B108" s="8" t="s">
        <v>1405</v>
      </c>
      <c r="C108" s="8">
        <v>2015</v>
      </c>
      <c r="D108" s="8" t="s">
        <v>1406</v>
      </c>
      <c r="E108" s="8" t="s">
        <v>1407</v>
      </c>
      <c r="F108" s="8" t="s">
        <v>1284</v>
      </c>
    </row>
    <row r="109" spans="1:6">
      <c r="A109" s="8" t="s">
        <v>1408</v>
      </c>
      <c r="B109" s="8" t="s">
        <v>1409</v>
      </c>
      <c r="C109" s="8">
        <v>2022</v>
      </c>
      <c r="D109" s="8" t="s">
        <v>1410</v>
      </c>
      <c r="E109" s="8" t="s">
        <v>1411</v>
      </c>
      <c r="F109" s="8" t="s">
        <v>1284</v>
      </c>
    </row>
    <row r="110" spans="1:6">
      <c r="A110" s="8" t="s">
        <v>1412</v>
      </c>
      <c r="B110" s="8" t="s">
        <v>1413</v>
      </c>
      <c r="C110" s="8">
        <v>1973</v>
      </c>
      <c r="D110" s="8"/>
      <c r="E110" s="8" t="s">
        <v>1414</v>
      </c>
      <c r="F110" s="8" t="s">
        <v>1284</v>
      </c>
    </row>
    <row r="111" spans="1:6">
      <c r="A111" s="8" t="s">
        <v>1415</v>
      </c>
      <c r="B111" s="8" t="s">
        <v>1416</v>
      </c>
      <c r="C111" s="8">
        <v>2025</v>
      </c>
      <c r="D111" s="8" t="s">
        <v>235</v>
      </c>
      <c r="E111" s="8" t="s">
        <v>1417</v>
      </c>
      <c r="F111" s="8" t="s">
        <v>1274</v>
      </c>
    </row>
    <row r="112" spans="1:6">
      <c r="A112" s="8" t="s">
        <v>1418</v>
      </c>
      <c r="B112" s="8" t="s">
        <v>1419</v>
      </c>
      <c r="C112" s="8">
        <v>2021</v>
      </c>
      <c r="D112" s="8" t="s">
        <v>1420</v>
      </c>
      <c r="E112" s="8" t="s">
        <v>1421</v>
      </c>
      <c r="F112" s="8" t="s">
        <v>1284</v>
      </c>
    </row>
    <row r="113" spans="1:11">
      <c r="A113" s="8" t="s">
        <v>1422</v>
      </c>
      <c r="B113" s="8" t="s">
        <v>1423</v>
      </c>
      <c r="C113" s="8">
        <v>2020</v>
      </c>
      <c r="D113" s="8" t="s">
        <v>1424</v>
      </c>
      <c r="E113" s="8" t="s">
        <v>1425</v>
      </c>
      <c r="F113" s="8" t="s">
        <v>1284</v>
      </c>
    </row>
    <row r="114" spans="1:11">
      <c r="A114" s="8" t="s">
        <v>1426</v>
      </c>
      <c r="B114" s="8" t="s">
        <v>1427</v>
      </c>
      <c r="C114" s="8">
        <v>1992</v>
      </c>
      <c r="D114" s="8" t="s">
        <v>1376</v>
      </c>
      <c r="E114" s="8" t="s">
        <v>1428</v>
      </c>
      <c r="F114" s="8"/>
    </row>
    <row r="115" spans="1:11" s="44" customFormat="1">
      <c r="A115" s="45" t="s">
        <v>1429</v>
      </c>
      <c r="B115" s="45" t="s">
        <v>1430</v>
      </c>
      <c r="C115" s="45">
        <v>1954</v>
      </c>
      <c r="D115" s="45" t="s">
        <v>1431</v>
      </c>
      <c r="E115" s="45" t="s">
        <v>1432</v>
      </c>
      <c r="F115" s="45"/>
    </row>
    <row r="119" spans="1:11">
      <c r="A119" t="s">
        <v>1433</v>
      </c>
    </row>
    <row r="120" spans="1:11">
      <c r="A120" s="8" t="s">
        <v>975</v>
      </c>
      <c r="B120" s="8" t="s">
        <v>978</v>
      </c>
      <c r="C120" s="8" t="s">
        <v>979</v>
      </c>
      <c r="D120" s="8" t="s">
        <v>981</v>
      </c>
      <c r="E120" s="8" t="s">
        <v>982</v>
      </c>
      <c r="F120" s="8" t="s">
        <v>1315</v>
      </c>
      <c r="G120" s="8"/>
      <c r="H120" s="8"/>
      <c r="I120" s="8"/>
      <c r="J120" s="8"/>
      <c r="K120" s="8"/>
    </row>
    <row r="121" spans="1:11">
      <c r="A121" s="8" t="s">
        <v>1434</v>
      </c>
      <c r="B121" s="8" t="s">
        <v>1435</v>
      </c>
      <c r="C121" s="8">
        <v>2021</v>
      </c>
      <c r="D121" s="8" t="s">
        <v>172</v>
      </c>
      <c r="E121" s="8" t="s">
        <v>1436</v>
      </c>
      <c r="F121" s="8" t="s">
        <v>1274</v>
      </c>
      <c r="G121" s="8"/>
      <c r="H121" s="8"/>
      <c r="I121" s="8"/>
      <c r="J121" s="8"/>
      <c r="K121" s="8"/>
    </row>
    <row r="122" spans="1:11" s="44" customFormat="1">
      <c r="A122" s="45" t="s">
        <v>1437</v>
      </c>
      <c r="B122" s="45" t="s">
        <v>1438</v>
      </c>
      <c r="C122" s="45">
        <v>2021</v>
      </c>
      <c r="D122" s="45" t="s">
        <v>180</v>
      </c>
      <c r="E122" s="45" t="s">
        <v>1439</v>
      </c>
      <c r="F122" s="45" t="s">
        <v>1274</v>
      </c>
      <c r="G122" s="45"/>
      <c r="H122" s="45"/>
      <c r="I122" s="45"/>
      <c r="J122" s="45"/>
      <c r="K122" s="45"/>
    </row>
    <row r="123" spans="1:11">
      <c r="A123" s="8" t="s">
        <v>1440</v>
      </c>
      <c r="B123" s="8" t="s">
        <v>1441</v>
      </c>
      <c r="C123" s="8">
        <v>2018</v>
      </c>
      <c r="D123" s="8" t="s">
        <v>1442</v>
      </c>
      <c r="E123" s="8" t="s">
        <v>1443</v>
      </c>
      <c r="F123" s="8" t="s">
        <v>1284</v>
      </c>
      <c r="G123" s="8"/>
      <c r="H123" s="8"/>
      <c r="I123" s="8"/>
      <c r="J123" s="8"/>
      <c r="K123" s="8"/>
    </row>
    <row r="124" spans="1:11">
      <c r="A124" s="8" t="s">
        <v>1444</v>
      </c>
      <c r="B124" s="8" t="s">
        <v>1445</v>
      </c>
      <c r="C124" s="8">
        <v>2020</v>
      </c>
      <c r="D124" s="8" t="s">
        <v>1446</v>
      </c>
      <c r="E124" s="8" t="s">
        <v>1447</v>
      </c>
      <c r="F124" s="8" t="s">
        <v>1284</v>
      </c>
      <c r="G124" s="8"/>
      <c r="H124" s="8"/>
      <c r="I124" s="8"/>
      <c r="J124" s="8"/>
      <c r="K124" s="8"/>
    </row>
    <row r="125" spans="1:11">
      <c r="A125" s="8" t="s">
        <v>1448</v>
      </c>
      <c r="B125" s="8" t="s">
        <v>1449</v>
      </c>
      <c r="C125" s="8">
        <v>2011</v>
      </c>
      <c r="D125" s="8" t="s">
        <v>1450</v>
      </c>
      <c r="E125" s="8" t="s">
        <v>1451</v>
      </c>
      <c r="F125" s="8" t="s">
        <v>1284</v>
      </c>
      <c r="G125" s="8"/>
      <c r="H125" s="8"/>
      <c r="I125" s="8"/>
      <c r="J125" s="8"/>
      <c r="K125" s="8"/>
    </row>
    <row r="126" spans="1:11">
      <c r="A126" s="8" t="s">
        <v>1452</v>
      </c>
      <c r="B126" s="8" t="s">
        <v>1453</v>
      </c>
      <c r="C126" s="8">
        <v>2023</v>
      </c>
      <c r="D126" s="8" t="s">
        <v>1399</v>
      </c>
      <c r="E126" s="8" t="s">
        <v>1454</v>
      </c>
      <c r="F126" s="8" t="s">
        <v>1284</v>
      </c>
      <c r="G126" s="8"/>
      <c r="H126" s="8"/>
      <c r="I126" s="8"/>
      <c r="J126" s="8"/>
      <c r="K126" s="8"/>
    </row>
    <row r="127" spans="1:11">
      <c r="A127" s="8" t="s">
        <v>1455</v>
      </c>
      <c r="B127" s="8" t="s">
        <v>1456</v>
      </c>
      <c r="C127" s="8">
        <v>2018</v>
      </c>
      <c r="D127" s="8" t="s">
        <v>180</v>
      </c>
      <c r="E127" s="8" t="s">
        <v>1457</v>
      </c>
      <c r="F127" s="8" t="s">
        <v>1284</v>
      </c>
      <c r="G127" s="8"/>
      <c r="H127" s="8"/>
      <c r="I127" s="8"/>
      <c r="J127" s="8"/>
      <c r="K127" s="8"/>
    </row>
    <row r="128" spans="1:11">
      <c r="A128" s="8" t="s">
        <v>1458</v>
      </c>
      <c r="B128" s="8" t="s">
        <v>1459</v>
      </c>
      <c r="C128" s="8">
        <v>2020</v>
      </c>
      <c r="D128" s="8" t="s">
        <v>1460</v>
      </c>
      <c r="E128" s="8" t="s">
        <v>1461</v>
      </c>
      <c r="F128" s="8" t="s">
        <v>1284</v>
      </c>
      <c r="G128" s="8"/>
      <c r="H128" s="8"/>
      <c r="I128" s="8"/>
      <c r="J128" s="8"/>
      <c r="K128" s="8"/>
    </row>
    <row r="129" spans="1:11" s="44" customFormat="1">
      <c r="A129" s="45" t="s">
        <v>1339</v>
      </c>
      <c r="B129" s="45" t="s">
        <v>1340</v>
      </c>
      <c r="C129" s="45">
        <v>2020</v>
      </c>
      <c r="D129" s="45" t="s">
        <v>1341</v>
      </c>
      <c r="E129" s="45" t="s">
        <v>1342</v>
      </c>
      <c r="F129" s="45" t="s">
        <v>1274</v>
      </c>
      <c r="G129" s="45"/>
      <c r="H129" s="45"/>
      <c r="I129" s="45"/>
      <c r="J129" s="45"/>
      <c r="K129" s="45"/>
    </row>
    <row r="130" spans="1:11">
      <c r="A130" s="8" t="s">
        <v>1462</v>
      </c>
      <c r="B130" s="8" t="s">
        <v>1463</v>
      </c>
      <c r="C130" s="8">
        <v>2020</v>
      </c>
      <c r="D130" s="8" t="s">
        <v>362</v>
      </c>
      <c r="E130" s="8" t="s">
        <v>1464</v>
      </c>
      <c r="F130" s="8" t="s">
        <v>1284</v>
      </c>
      <c r="G130" s="8"/>
      <c r="H130" s="8"/>
      <c r="I130" s="8"/>
      <c r="J130" s="8"/>
      <c r="K130" s="8"/>
    </row>
    <row r="131" spans="1:11" s="44" customFormat="1">
      <c r="A131" s="45" t="s">
        <v>1465</v>
      </c>
      <c r="B131" s="45" t="s">
        <v>1466</v>
      </c>
      <c r="C131" s="45">
        <v>2021</v>
      </c>
      <c r="D131" s="45" t="s">
        <v>397</v>
      </c>
      <c r="E131" s="45" t="s">
        <v>1467</v>
      </c>
      <c r="F131" s="45" t="s">
        <v>1274</v>
      </c>
      <c r="G131" s="45"/>
      <c r="H131" s="45"/>
      <c r="I131" s="45"/>
      <c r="J131" s="45"/>
      <c r="K131" s="45"/>
    </row>
    <row r="132" spans="1:11">
      <c r="A132" s="8" t="s">
        <v>1468</v>
      </c>
      <c r="B132" s="8" t="s">
        <v>1469</v>
      </c>
      <c r="C132" s="8">
        <v>2021</v>
      </c>
      <c r="D132" s="8" t="s">
        <v>1470</v>
      </c>
      <c r="E132" s="8" t="s">
        <v>1471</v>
      </c>
      <c r="F132" s="8" t="s">
        <v>1284</v>
      </c>
      <c r="G132" s="8"/>
      <c r="H132" s="8"/>
      <c r="I132" s="8"/>
      <c r="J132" s="8"/>
      <c r="K132" s="8"/>
    </row>
    <row r="133" spans="1:11">
      <c r="A133" s="8" t="s">
        <v>1472</v>
      </c>
      <c r="B133" s="8" t="s">
        <v>1473</v>
      </c>
      <c r="C133" s="8">
        <v>2018</v>
      </c>
      <c r="D133" s="8" t="s">
        <v>1406</v>
      </c>
      <c r="E133" s="8" t="s">
        <v>1474</v>
      </c>
      <c r="F133" s="8" t="s">
        <v>1284</v>
      </c>
      <c r="G133" s="8"/>
      <c r="H133" s="8"/>
      <c r="I133" s="8"/>
      <c r="J133" s="8"/>
      <c r="K133" s="8"/>
    </row>
    <row r="134" spans="1:11">
      <c r="A134" s="8" t="s">
        <v>1475</v>
      </c>
      <c r="B134" s="8" t="s">
        <v>1476</v>
      </c>
      <c r="C134" s="8">
        <v>2025</v>
      </c>
      <c r="D134" s="8" t="s">
        <v>1399</v>
      </c>
      <c r="E134" s="8" t="s">
        <v>1477</v>
      </c>
      <c r="F134" s="8" t="s">
        <v>1284</v>
      </c>
      <c r="G134" s="8"/>
      <c r="H134" s="8"/>
      <c r="I134" s="8"/>
      <c r="J134" s="8"/>
      <c r="K134" s="8"/>
    </row>
    <row r="135" spans="1:11">
      <c r="A135" s="8" t="s">
        <v>1478</v>
      </c>
      <c r="B135" s="8" t="s">
        <v>1479</v>
      </c>
      <c r="C135" s="8">
        <v>2017</v>
      </c>
      <c r="D135" s="8" t="s">
        <v>1480</v>
      </c>
      <c r="E135" s="8" t="s">
        <v>1481</v>
      </c>
      <c r="F135" s="8" t="s">
        <v>1284</v>
      </c>
      <c r="G135" s="8"/>
      <c r="H135" s="8"/>
      <c r="I135" s="8"/>
      <c r="J135" s="8"/>
      <c r="K135" s="8"/>
    </row>
    <row r="136" spans="1:11" s="44" customFormat="1">
      <c r="A136" s="45" t="s">
        <v>1346</v>
      </c>
      <c r="B136" s="45" t="s">
        <v>1347</v>
      </c>
      <c r="C136" s="45">
        <v>2013</v>
      </c>
      <c r="D136" s="45" t="s">
        <v>580</v>
      </c>
      <c r="E136" s="45" t="s">
        <v>1348</v>
      </c>
      <c r="F136" s="45" t="s">
        <v>1274</v>
      </c>
      <c r="G136" s="45"/>
      <c r="H136" s="45"/>
      <c r="I136" s="45"/>
      <c r="J136" s="45"/>
      <c r="K136" s="45"/>
    </row>
    <row r="137" spans="1:11" s="44" customFormat="1">
      <c r="A137" s="45" t="s">
        <v>1482</v>
      </c>
      <c r="B137" s="45" t="s">
        <v>1483</v>
      </c>
      <c r="C137" s="45">
        <v>2023</v>
      </c>
      <c r="D137" s="45" t="s">
        <v>1484</v>
      </c>
      <c r="E137" s="45" t="s">
        <v>1485</v>
      </c>
      <c r="F137" s="45" t="s">
        <v>1274</v>
      </c>
      <c r="G137" s="45"/>
      <c r="H137" s="45"/>
      <c r="I137" s="45"/>
      <c r="J137" s="45"/>
      <c r="K137" s="45"/>
    </row>
    <row r="138" spans="1:11">
      <c r="A138" s="8" t="s">
        <v>1486</v>
      </c>
      <c r="B138" s="8" t="s">
        <v>1487</v>
      </c>
      <c r="C138" s="8">
        <v>2019</v>
      </c>
      <c r="D138" s="8" t="s">
        <v>248</v>
      </c>
      <c r="E138" s="8" t="s">
        <v>1488</v>
      </c>
      <c r="F138" s="8" t="s">
        <v>1274</v>
      </c>
      <c r="G138" s="8"/>
      <c r="H138" s="8"/>
      <c r="I138" s="8"/>
      <c r="J138" s="8"/>
      <c r="K138" s="8"/>
    </row>
    <row r="139" spans="1:11">
      <c r="A139" s="8" t="s">
        <v>1489</v>
      </c>
      <c r="B139" s="8" t="s">
        <v>1490</v>
      </c>
      <c r="C139" s="8">
        <v>2019</v>
      </c>
      <c r="D139" s="8" t="s">
        <v>76</v>
      </c>
      <c r="E139" s="8" t="s">
        <v>1491</v>
      </c>
      <c r="F139" s="8" t="s">
        <v>1274</v>
      </c>
      <c r="G139" s="8"/>
      <c r="H139" s="8"/>
      <c r="I139" s="8"/>
      <c r="J139" s="8"/>
      <c r="K139" s="8"/>
    </row>
    <row r="140" spans="1:11" s="44" customFormat="1">
      <c r="A140" s="45" t="s">
        <v>1353</v>
      </c>
      <c r="B140" s="45" t="s">
        <v>1354</v>
      </c>
      <c r="C140" s="45">
        <v>2025</v>
      </c>
      <c r="D140" s="45" t="s">
        <v>1355</v>
      </c>
      <c r="E140" s="45" t="s">
        <v>1356</v>
      </c>
      <c r="F140" s="45"/>
      <c r="G140" s="45"/>
      <c r="H140" s="45"/>
      <c r="I140" s="45"/>
      <c r="J140" s="45"/>
      <c r="K140" s="45"/>
    </row>
    <row r="141" spans="1:11">
      <c r="A141" s="8" t="s">
        <v>1492</v>
      </c>
      <c r="B141" s="8" t="s">
        <v>1493</v>
      </c>
      <c r="C141" s="8">
        <v>2018</v>
      </c>
      <c r="D141" s="8" t="s">
        <v>1494</v>
      </c>
      <c r="E141" s="8" t="s">
        <v>1495</v>
      </c>
      <c r="F141" s="8" t="s">
        <v>1496</v>
      </c>
      <c r="G141" s="8"/>
      <c r="H141" s="8"/>
      <c r="I141" s="8"/>
      <c r="J141" s="8"/>
      <c r="K141" s="8"/>
    </row>
    <row r="142" spans="1:11">
      <c r="A142" s="8" t="s">
        <v>1497</v>
      </c>
      <c r="B142" s="8" t="s">
        <v>1498</v>
      </c>
      <c r="C142" s="8">
        <v>2017</v>
      </c>
      <c r="D142" s="8" t="s">
        <v>151</v>
      </c>
      <c r="E142" s="8" t="s">
        <v>1499</v>
      </c>
      <c r="F142" s="8" t="s">
        <v>1284</v>
      </c>
      <c r="G142" s="8"/>
      <c r="H142" s="8"/>
      <c r="I142" s="8"/>
      <c r="J142" s="8"/>
      <c r="K142" s="8"/>
    </row>
    <row r="143" spans="1:11">
      <c r="A143" s="8" t="s">
        <v>1500</v>
      </c>
      <c r="B143" s="8" t="s">
        <v>1501</v>
      </c>
      <c r="C143" s="8">
        <v>2021</v>
      </c>
      <c r="D143" s="8" t="s">
        <v>345</v>
      </c>
      <c r="E143" s="8" t="s">
        <v>1502</v>
      </c>
      <c r="F143" s="8" t="s">
        <v>1284</v>
      </c>
      <c r="G143" s="8"/>
      <c r="H143" s="8"/>
      <c r="I143" s="8"/>
      <c r="J143" s="8"/>
      <c r="K143" s="8"/>
    </row>
    <row r="144" spans="1:11" s="44" customFormat="1">
      <c r="A144" s="45" t="s">
        <v>1503</v>
      </c>
      <c r="B144" s="45" t="s">
        <v>1226</v>
      </c>
      <c r="C144" s="45">
        <v>2024</v>
      </c>
      <c r="D144" s="45" t="s">
        <v>339</v>
      </c>
      <c r="E144" s="45" t="s">
        <v>1504</v>
      </c>
      <c r="F144" s="45"/>
      <c r="G144" s="45"/>
      <c r="H144" s="45"/>
      <c r="I144" s="45"/>
      <c r="J144" s="45"/>
      <c r="K144" s="45"/>
    </row>
    <row r="145" spans="1:11" s="44" customFormat="1">
      <c r="A145" s="45" t="s">
        <v>1505</v>
      </c>
      <c r="B145" s="45" t="s">
        <v>1506</v>
      </c>
      <c r="C145" s="45">
        <v>2009</v>
      </c>
      <c r="D145" s="45" t="s">
        <v>76</v>
      </c>
      <c r="E145" s="45" t="s">
        <v>1507</v>
      </c>
      <c r="F145" s="45"/>
      <c r="G145" s="45"/>
      <c r="H145" s="45"/>
      <c r="I145" s="45"/>
      <c r="J145" s="45"/>
      <c r="K145" s="45"/>
    </row>
  </sheetData>
  <hyperlinks>
    <hyperlink ref="S2" r:id="rId1" xr:uid="{FD8FD2F2-9750-45AF-AAA2-8387B4FB3D5D}"/>
    <hyperlink ref="S3" r:id="rId2" xr:uid="{8BEBEB86-C41F-4F9C-9426-34513F1C9570}"/>
    <hyperlink ref="S4" r:id="rId3" xr:uid="{B81B226D-6B65-4F46-AA02-7A4B74D1F51F}"/>
    <hyperlink ref="S5" r:id="rId4" xr:uid="{C493E167-61F6-422E-A4D1-A3170591926B}"/>
    <hyperlink ref="S6" r:id="rId5" xr:uid="{B46B0320-82A7-42E1-86BD-7A20E4DAD089}"/>
    <hyperlink ref="S7" r:id="rId6" xr:uid="{3E41BE9D-F152-4EAD-9225-EF22D9883EF2}"/>
    <hyperlink ref="S8" r:id="rId7" xr:uid="{36EAB7F9-291E-4245-8D26-0D14C327AF8B}"/>
    <hyperlink ref="S9" r:id="rId8" xr:uid="{5C76DB04-837F-4A20-88BA-FBC5170273E3}"/>
    <hyperlink ref="S10" r:id="rId9" xr:uid="{DD7FD884-86E7-4566-8A5F-B44E0658C695}"/>
    <hyperlink ref="S11" r:id="rId10" xr:uid="{E59196F6-769D-49A0-B6A4-AC644C03FA6B}"/>
    <hyperlink ref="S12" r:id="rId11" xr:uid="{1179492B-87FD-4113-842D-E770C3F7FF57}"/>
    <hyperlink ref="S13" r:id="rId12" xr:uid="{FC74D81C-A958-4761-BB2F-9ED0228A6A21}"/>
    <hyperlink ref="S14" r:id="rId13" xr:uid="{EF424517-DB08-46FC-8562-589838C910A5}"/>
    <hyperlink ref="S15" r:id="rId14" xr:uid="{9A8EDD70-3974-4E28-A9DC-ED3823FB4622}"/>
    <hyperlink ref="S16" r:id="rId15" xr:uid="{CECDD438-FC28-43A2-B2B4-468B139E0B03}"/>
    <hyperlink ref="S17" r:id="rId16" xr:uid="{E4573D5B-5579-4409-975D-3F4E9808B247}"/>
    <hyperlink ref="S18" r:id="rId17" xr:uid="{F8C9BAF7-232B-4F51-AEAF-779FE1725713}"/>
    <hyperlink ref="S22" r:id="rId18" xr:uid="{6746479C-0A0F-42B0-B53F-1FFE2301BD59}"/>
    <hyperlink ref="S19" r:id="rId19" xr:uid="{FFFF4117-0BE2-40BB-9BD3-F683E5FDC161}"/>
    <hyperlink ref="S20" r:id="rId20" xr:uid="{7FFEC655-25EC-4309-9DD2-32E5108090F8}"/>
    <hyperlink ref="S21" r:id="rId21" xr:uid="{171E1277-60C3-46BD-8A8D-A4E426EBC781}"/>
    <hyperlink ref="S23" r:id="rId22" xr:uid="{D45CB744-4AEF-4F6D-8C3D-525B711AD86D}"/>
    <hyperlink ref="S24" r:id="rId23" xr:uid="{5AACC40D-4F31-4FDD-8114-9DAFEC8D5BF6}"/>
    <hyperlink ref="S25" r:id="rId24" xr:uid="{E0A9DAC6-6F62-4284-9F9E-7B5798A0491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A7DA4-1B89-4C8B-8456-758349C512D8}">
  <dimension ref="A1:AH211"/>
  <sheetViews>
    <sheetView topLeftCell="A61" workbookViewId="0">
      <selection activeCell="B125" sqref="B125"/>
    </sheetView>
  </sheetViews>
  <sheetFormatPr defaultRowHeight="15" customHeight="1"/>
  <cols>
    <col min="1" max="1" width="16.26171875" bestFit="1" customWidth="1"/>
    <col min="2" max="2" width="86.15625" customWidth="1"/>
    <col min="3" max="3" width="1.68359375" customWidth="1"/>
    <col min="4" max="4" width="21.26171875" customWidth="1"/>
    <col min="9" max="9" width="29" bestFit="1" customWidth="1"/>
    <col min="10" max="10" width="21.83984375" bestFit="1" customWidth="1"/>
  </cols>
  <sheetData>
    <row r="1" spans="2:21" ht="115.2">
      <c r="B1" s="1" t="s">
        <v>0</v>
      </c>
      <c r="C1" s="1" t="s">
        <v>1</v>
      </c>
      <c r="D1" s="1"/>
      <c r="E1" s="1" t="s">
        <v>2</v>
      </c>
      <c r="F1" s="1" t="s">
        <v>3</v>
      </c>
      <c r="G1" s="1" t="s">
        <v>1263</v>
      </c>
      <c r="H1" s="1" t="s">
        <v>5</v>
      </c>
      <c r="I1" s="1" t="s">
        <v>7</v>
      </c>
      <c r="J1" s="1" t="s">
        <v>8</v>
      </c>
      <c r="K1" s="1" t="s">
        <v>9</v>
      </c>
      <c r="L1" s="1" t="s">
        <v>11</v>
      </c>
      <c r="M1" s="1" t="s">
        <v>12</v>
      </c>
      <c r="N1" s="1" t="s">
        <v>13</v>
      </c>
      <c r="O1" s="1" t="s">
        <v>14</v>
      </c>
      <c r="P1" s="1" t="s">
        <v>15</v>
      </c>
      <c r="Q1" s="1" t="s">
        <v>16</v>
      </c>
      <c r="R1" s="1" t="s">
        <v>17</v>
      </c>
      <c r="S1" s="1" t="s">
        <v>18</v>
      </c>
      <c r="T1" s="1" t="s">
        <v>19</v>
      </c>
      <c r="U1" s="1" t="s">
        <v>20</v>
      </c>
    </row>
    <row r="6" spans="2:21" ht="14.4"/>
    <row r="7" spans="2:21" ht="14.4"/>
    <row r="8" spans="2:21" ht="14.4"/>
    <row r="9" spans="2:21" ht="14.4"/>
    <row r="10" spans="2:21" ht="14.4"/>
    <row r="11" spans="2:21" ht="14.4"/>
    <row r="12" spans="2:21" ht="14.4"/>
    <row r="13" spans="2:21" ht="14.4"/>
    <row r="14" spans="2:21" ht="14.4"/>
    <row r="15" spans="2:21" ht="14.4"/>
    <row r="16" spans="2:21" ht="14.4"/>
    <row r="17" spans="1:21" ht="14.4"/>
    <row r="20" spans="1:21" ht="14.4"/>
    <row r="21" spans="1:21" ht="14.4"/>
    <row r="23" spans="1:21" ht="14.4"/>
    <row r="24" spans="1:21" ht="14.4"/>
    <row r="25" spans="1:21" ht="14.4"/>
    <row r="26" spans="1:21" ht="14.4"/>
    <row r="31" spans="1:21" s="107" customFormat="1" ht="14.4">
      <c r="A31" s="116"/>
      <c r="B31" s="106"/>
      <c r="C31" s="106"/>
      <c r="D31" s="106"/>
      <c r="E31" s="106" t="s">
        <v>1508</v>
      </c>
      <c r="F31" s="106"/>
      <c r="G31" s="106"/>
      <c r="H31" s="106"/>
      <c r="I31" s="106" t="s">
        <v>1509</v>
      </c>
      <c r="J31" s="106" t="s">
        <v>1510</v>
      </c>
      <c r="K31" s="106"/>
      <c r="L31" s="106"/>
      <c r="M31" s="106"/>
      <c r="N31" s="106"/>
      <c r="O31" s="106"/>
      <c r="P31" s="106"/>
      <c r="Q31" s="106"/>
      <c r="R31" s="106"/>
      <c r="S31" s="106"/>
      <c r="T31" s="106"/>
      <c r="U31" s="106"/>
    </row>
    <row r="32" spans="1:21" s="107" customFormat="1" ht="14.4">
      <c r="A32" s="116"/>
      <c r="B32" s="106"/>
      <c r="C32" s="106"/>
      <c r="D32" s="106"/>
      <c r="E32" s="106"/>
      <c r="F32" s="106"/>
      <c r="G32" s="106"/>
      <c r="H32" s="106"/>
      <c r="I32" s="106"/>
      <c r="J32" s="106"/>
      <c r="K32" s="106"/>
      <c r="L32" s="106"/>
      <c r="M32" s="106"/>
      <c r="N32" s="106"/>
      <c r="O32" s="106"/>
      <c r="P32" s="106"/>
      <c r="Q32" s="106"/>
      <c r="R32" s="106"/>
      <c r="S32" s="106"/>
      <c r="T32" s="106"/>
      <c r="U32" s="106"/>
    </row>
    <row r="33" spans="1:34" s="107" customFormat="1" ht="14.4">
      <c r="A33" s="116"/>
      <c r="B33" s="106"/>
      <c r="C33" s="106"/>
      <c r="D33" s="106"/>
      <c r="E33" s="106"/>
      <c r="F33" s="106"/>
      <c r="G33" s="106"/>
      <c r="H33" s="106"/>
      <c r="I33" s="106"/>
      <c r="J33" s="106"/>
      <c r="K33" s="106"/>
      <c r="L33" s="106"/>
      <c r="M33" s="106"/>
      <c r="N33" s="106"/>
      <c r="O33" s="106"/>
      <c r="P33" s="106"/>
      <c r="Q33" s="106"/>
      <c r="R33" s="106"/>
      <c r="S33" s="106"/>
      <c r="T33" s="106"/>
      <c r="U33" s="106"/>
    </row>
    <row r="34" spans="1:34" ht="14.4">
      <c r="A34" s="116"/>
      <c r="B34" s="130" t="s">
        <v>1511</v>
      </c>
    </row>
    <row r="35" spans="1:34" ht="14.4">
      <c r="A35" s="116"/>
      <c r="B35" t="s">
        <v>1512</v>
      </c>
    </row>
    <row r="36" spans="1:34" ht="57.6">
      <c r="A36" s="116"/>
      <c r="B36" s="2" t="s">
        <v>1513</v>
      </c>
      <c r="E36" s="131" t="s">
        <v>1514</v>
      </c>
      <c r="F36" s="131" t="s">
        <v>1514</v>
      </c>
      <c r="G36" s="131" t="s">
        <v>1514</v>
      </c>
      <c r="H36" s="131" t="s">
        <v>1514</v>
      </c>
      <c r="I36" s="131" t="s">
        <v>1515</v>
      </c>
      <c r="J36" s="132" t="s">
        <v>1516</v>
      </c>
      <c r="K36" t="s">
        <v>1517</v>
      </c>
      <c r="L36" t="s">
        <v>1518</v>
      </c>
      <c r="M36" t="s">
        <v>1518</v>
      </c>
      <c r="N36" t="s">
        <v>1518</v>
      </c>
      <c r="O36" t="s">
        <v>1518</v>
      </c>
      <c r="P36" t="s">
        <v>1518</v>
      </c>
      <c r="Q36" s="1" t="s">
        <v>1</v>
      </c>
      <c r="R36" s="1" t="s">
        <v>2</v>
      </c>
      <c r="S36" s="1" t="s">
        <v>3</v>
      </c>
      <c r="T36" s="1" t="s">
        <v>1263</v>
      </c>
      <c r="U36" s="1" t="s">
        <v>5</v>
      </c>
      <c r="V36" s="1" t="s">
        <v>7</v>
      </c>
      <c r="W36" s="1" t="s">
        <v>8</v>
      </c>
      <c r="X36" s="1" t="s">
        <v>9</v>
      </c>
      <c r="Y36" s="1" t="s">
        <v>11</v>
      </c>
      <c r="Z36" s="1" t="s">
        <v>12</v>
      </c>
      <c r="AA36" s="1" t="s">
        <v>13</v>
      </c>
      <c r="AB36" s="1" t="s">
        <v>14</v>
      </c>
      <c r="AC36" s="1" t="s">
        <v>15</v>
      </c>
      <c r="AD36" s="1" t="s">
        <v>16</v>
      </c>
      <c r="AE36" s="1" t="s">
        <v>17</v>
      </c>
      <c r="AF36" s="1" t="s">
        <v>18</v>
      </c>
      <c r="AG36" s="1" t="s">
        <v>19</v>
      </c>
      <c r="AH36" s="1" t="s">
        <v>20</v>
      </c>
    </row>
    <row r="37" spans="1:34" ht="14.4">
      <c r="A37" s="116"/>
      <c r="E37" s="131" t="s">
        <v>436</v>
      </c>
      <c r="F37" s="131" t="s">
        <v>335</v>
      </c>
      <c r="G37" s="131" t="s">
        <v>59</v>
      </c>
      <c r="H37" s="131" t="s">
        <v>294</v>
      </c>
      <c r="I37" s="131"/>
      <c r="J37" s="132" t="s">
        <v>617</v>
      </c>
      <c r="K37" t="s">
        <v>1519</v>
      </c>
    </row>
    <row r="38" spans="1:34" ht="14.4">
      <c r="A38" s="116"/>
      <c r="B38" s="70" t="s">
        <v>1520</v>
      </c>
      <c r="C38" s="70" t="s">
        <v>1521</v>
      </c>
      <c r="D38" s="70"/>
      <c r="E38" s="8"/>
      <c r="F38" s="8"/>
      <c r="G38" s="8" t="s">
        <v>59</v>
      </c>
      <c r="H38" s="8"/>
      <c r="I38" s="123" t="s">
        <v>689</v>
      </c>
      <c r="J38">
        <f>0.37/10</f>
        <v>3.6999999999999998E-2</v>
      </c>
    </row>
    <row r="39" spans="1:34" s="44" customFormat="1" ht="14.4">
      <c r="A39" s="119" t="s">
        <v>1522</v>
      </c>
      <c r="B39" s="135" t="s">
        <v>1523</v>
      </c>
      <c r="C39" s="45" t="s">
        <v>1521</v>
      </c>
      <c r="D39" s="8"/>
      <c r="E39" s="8"/>
      <c r="F39" s="8"/>
      <c r="G39" s="8"/>
      <c r="H39" s="8"/>
      <c r="I39" s="8" t="s">
        <v>1524</v>
      </c>
    </row>
    <row r="40" spans="1:34" ht="14.4">
      <c r="A40" s="116"/>
      <c r="B40" s="105" t="s">
        <v>1525</v>
      </c>
      <c r="C40" s="70" t="s">
        <v>1521</v>
      </c>
      <c r="D40" s="70"/>
      <c r="E40" s="8" t="s">
        <v>436</v>
      </c>
      <c r="F40" s="8"/>
      <c r="G40" s="8" t="s">
        <v>59</v>
      </c>
      <c r="H40" s="8" t="s">
        <v>294</v>
      </c>
      <c r="I40" s="8" t="s">
        <v>1526</v>
      </c>
      <c r="J40">
        <f>0.37/10</f>
        <v>3.6999999999999998E-2</v>
      </c>
      <c r="K40">
        <f>0.44/10</f>
        <v>4.3999999999999997E-2</v>
      </c>
    </row>
    <row r="41" spans="1:34" ht="14.4">
      <c r="A41" s="116"/>
      <c r="B41" s="133" t="s">
        <v>1527</v>
      </c>
      <c r="C41" s="45" t="s">
        <v>1521</v>
      </c>
      <c r="D41" s="8"/>
      <c r="E41" s="8" t="s">
        <v>436</v>
      </c>
      <c r="F41" s="8"/>
      <c r="G41" s="8" t="s">
        <v>59</v>
      </c>
      <c r="H41" s="8" t="s">
        <v>294</v>
      </c>
      <c r="I41" s="8" t="s">
        <v>1526</v>
      </c>
      <c r="J41">
        <f>0.58/10</f>
        <v>5.7999999999999996E-2</v>
      </c>
    </row>
    <row r="42" spans="1:34" ht="14.4">
      <c r="A42" s="116"/>
      <c r="B42" s="134" t="s">
        <v>1528</v>
      </c>
      <c r="C42" s="70" t="s">
        <v>1521</v>
      </c>
      <c r="D42" s="70"/>
      <c r="E42" s="8" t="s">
        <v>436</v>
      </c>
      <c r="F42" s="8" t="s">
        <v>335</v>
      </c>
      <c r="G42" s="8" t="s">
        <v>59</v>
      </c>
      <c r="H42" s="8" t="s">
        <v>294</v>
      </c>
      <c r="I42" s="8" t="s">
        <v>1526</v>
      </c>
      <c r="J42">
        <v>0.04</v>
      </c>
    </row>
    <row r="43" spans="1:34" ht="14.4">
      <c r="A43" s="116"/>
      <c r="B43" s="136" t="s">
        <v>1529</v>
      </c>
      <c r="C43" s="45" t="s">
        <v>1521</v>
      </c>
      <c r="D43" s="8"/>
      <c r="E43" s="8" t="s">
        <v>436</v>
      </c>
      <c r="F43" s="8" t="s">
        <v>335</v>
      </c>
      <c r="G43" s="8" t="s">
        <v>59</v>
      </c>
      <c r="H43" s="8" t="s">
        <v>294</v>
      </c>
      <c r="I43" s="8" t="s">
        <v>1530</v>
      </c>
    </row>
    <row r="44" spans="1:34" ht="14.4">
      <c r="A44" s="116"/>
      <c r="B44" s="134" t="s">
        <v>1531</v>
      </c>
      <c r="C44" s="70" t="s">
        <v>1521</v>
      </c>
      <c r="D44" s="70"/>
      <c r="E44" s="8" t="s">
        <v>436</v>
      </c>
      <c r="F44" s="8"/>
      <c r="G44" s="8" t="s">
        <v>59</v>
      </c>
      <c r="H44" s="8"/>
      <c r="I44" s="8" t="s">
        <v>1526</v>
      </c>
      <c r="J44">
        <v>7.0000000000000007E-2</v>
      </c>
    </row>
    <row r="45" spans="1:34" ht="14.4">
      <c r="A45" s="116"/>
      <c r="B45" s="134" t="s">
        <v>1532</v>
      </c>
      <c r="C45" s="45" t="s">
        <v>1521</v>
      </c>
      <c r="D45" s="8" t="s">
        <v>1533</v>
      </c>
      <c r="E45" s="8" t="s">
        <v>436</v>
      </c>
      <c r="F45" s="8" t="s">
        <v>335</v>
      </c>
      <c r="G45" s="8"/>
      <c r="H45" s="8" t="s">
        <v>294</v>
      </c>
      <c r="I45" s="8" t="s">
        <v>1526</v>
      </c>
      <c r="J45">
        <f>0.5/10</f>
        <v>0.05</v>
      </c>
    </row>
    <row r="46" spans="1:34" ht="14.4">
      <c r="A46" s="116"/>
      <c r="B46" s="71" t="s">
        <v>1534</v>
      </c>
      <c r="C46" s="70" t="s">
        <v>1521</v>
      </c>
      <c r="D46" s="70"/>
      <c r="E46" s="8"/>
      <c r="F46" s="8"/>
      <c r="G46" s="8" t="s">
        <v>59</v>
      </c>
      <c r="H46" s="8"/>
      <c r="I46" s="123" t="s">
        <v>1535</v>
      </c>
      <c r="J46" t="s">
        <v>1536</v>
      </c>
    </row>
    <row r="47" spans="1:34" ht="14.4">
      <c r="A47" s="116"/>
      <c r="B47" s="134" t="s">
        <v>1537</v>
      </c>
      <c r="C47" s="45" t="s">
        <v>1521</v>
      </c>
      <c r="D47" s="8" t="s">
        <v>1538</v>
      </c>
      <c r="E47" s="8" t="s">
        <v>436</v>
      </c>
      <c r="F47" s="8"/>
      <c r="G47" s="8"/>
      <c r="H47" s="8"/>
      <c r="I47" s="8" t="s">
        <v>1526</v>
      </c>
      <c r="J47">
        <f>AVERAGE(0.12,0.09)</f>
        <v>0.105</v>
      </c>
    </row>
    <row r="48" spans="1:34" ht="14.4">
      <c r="A48" s="116"/>
      <c r="B48" s="134" t="s">
        <v>1539</v>
      </c>
      <c r="C48" s="70" t="s">
        <v>1521</v>
      </c>
      <c r="D48" s="70"/>
      <c r="E48" s="8"/>
      <c r="F48" s="8"/>
      <c r="G48" s="8"/>
      <c r="H48" s="8"/>
      <c r="I48" s="15" t="s">
        <v>1540</v>
      </c>
      <c r="J48" t="s">
        <v>1536</v>
      </c>
      <c r="K48" s="13"/>
      <c r="L48" s="13"/>
      <c r="M48" s="13"/>
      <c r="N48" s="13"/>
      <c r="O48" s="13"/>
      <c r="P48" s="13"/>
      <c r="Q48" s="13"/>
      <c r="R48" s="13"/>
      <c r="S48" s="13"/>
      <c r="T48" s="13"/>
      <c r="U48" s="13"/>
    </row>
    <row r="49" spans="1:21" ht="14.4">
      <c r="A49" s="116"/>
      <c r="B49" s="134" t="s">
        <v>1541</v>
      </c>
      <c r="C49" s="45" t="s">
        <v>1521</v>
      </c>
      <c r="D49" s="8"/>
      <c r="E49" s="8"/>
      <c r="F49" s="8"/>
      <c r="G49" s="8"/>
      <c r="H49" s="8"/>
      <c r="I49" s="15" t="s">
        <v>1540</v>
      </c>
      <c r="J49">
        <f>0.21/10</f>
        <v>2.0999999999999998E-2</v>
      </c>
      <c r="L49" t="s">
        <v>1542</v>
      </c>
    </row>
    <row r="50" spans="1:21" ht="14.4">
      <c r="A50" s="116"/>
      <c r="B50" s="134" t="s">
        <v>1543</v>
      </c>
      <c r="C50" s="70" t="s">
        <v>1521</v>
      </c>
      <c r="D50" s="70"/>
      <c r="E50" s="8"/>
      <c r="F50" s="8"/>
      <c r="G50" s="8" t="s">
        <v>59</v>
      </c>
      <c r="H50" s="8"/>
      <c r="I50" s="123" t="s">
        <v>689</v>
      </c>
      <c r="J50">
        <f>0.36/10</f>
        <v>3.5999999999999997E-2</v>
      </c>
    </row>
    <row r="51" spans="1:21" ht="14.4">
      <c r="A51" s="116"/>
      <c r="B51" s="134" t="s">
        <v>1544</v>
      </c>
      <c r="C51" s="45" t="s">
        <v>1521</v>
      </c>
      <c r="D51" s="8"/>
      <c r="E51" s="8" t="s">
        <v>436</v>
      </c>
      <c r="F51" s="8"/>
      <c r="G51" s="8"/>
      <c r="H51" s="8"/>
      <c r="I51" s="124" t="s">
        <v>1526</v>
      </c>
      <c r="J51">
        <v>3.1E-2</v>
      </c>
      <c r="K51" t="s">
        <v>1545</v>
      </c>
    </row>
    <row r="52" spans="1:21" ht="14.4">
      <c r="A52" s="116"/>
      <c r="B52" s="141" t="s">
        <v>1546</v>
      </c>
      <c r="C52" s="70" t="s">
        <v>1521</v>
      </c>
      <c r="D52" s="70" t="s">
        <v>1547</v>
      </c>
      <c r="E52" s="8" t="s">
        <v>1548</v>
      </c>
      <c r="F52" s="8"/>
      <c r="G52" s="8"/>
      <c r="H52" s="8"/>
      <c r="I52" s="123" t="s">
        <v>689</v>
      </c>
      <c r="J52" t="s">
        <v>689</v>
      </c>
    </row>
    <row r="53" spans="1:21" ht="14.4">
      <c r="A53" s="116"/>
      <c r="B53" s="134" t="s">
        <v>1549</v>
      </c>
      <c r="C53" s="45" t="s">
        <v>1521</v>
      </c>
      <c r="D53" s="8"/>
      <c r="E53" s="8"/>
      <c r="F53" s="8" t="s">
        <v>335</v>
      </c>
      <c r="G53" s="8" t="s">
        <v>59</v>
      </c>
      <c r="H53" s="8"/>
      <c r="I53" s="124" t="s">
        <v>1526</v>
      </c>
      <c r="J53">
        <f>0.77/10</f>
        <v>7.6999999999999999E-2</v>
      </c>
      <c r="K53" s="13"/>
      <c r="L53" s="13">
        <f>1.04/10</f>
        <v>0.10400000000000001</v>
      </c>
      <c r="M53" s="13"/>
      <c r="N53" s="13"/>
      <c r="O53" s="13"/>
      <c r="P53" s="13"/>
      <c r="Q53" s="13"/>
      <c r="R53" s="13"/>
      <c r="S53" s="13"/>
      <c r="T53" s="13"/>
      <c r="U53" s="13"/>
    </row>
    <row r="54" spans="1:21" ht="14.4">
      <c r="A54" s="116"/>
      <c r="B54" s="134" t="s">
        <v>1550</v>
      </c>
      <c r="C54" s="70" t="s">
        <v>1521</v>
      </c>
      <c r="D54" s="70"/>
      <c r="E54" s="8" t="s">
        <v>436</v>
      </c>
      <c r="F54" s="8" t="s">
        <v>335</v>
      </c>
      <c r="G54" s="8" t="s">
        <v>59</v>
      </c>
      <c r="H54" s="8" t="s">
        <v>294</v>
      </c>
      <c r="I54" s="124" t="s">
        <v>1526</v>
      </c>
      <c r="J54">
        <f>0.32/10</f>
        <v>3.2000000000000001E-2</v>
      </c>
    </row>
    <row r="55" spans="1:21" ht="14.4">
      <c r="A55" s="116"/>
      <c r="B55" s="134" t="s">
        <v>1551</v>
      </c>
      <c r="C55" s="45" t="s">
        <v>1521</v>
      </c>
      <c r="D55" s="8"/>
      <c r="E55" s="8" t="s">
        <v>436</v>
      </c>
      <c r="F55" s="8"/>
      <c r="G55" s="8" t="s">
        <v>59</v>
      </c>
      <c r="H55" s="8"/>
      <c r="I55" s="124" t="s">
        <v>1526</v>
      </c>
      <c r="J55">
        <f>0.24/10</f>
        <v>2.4E-2</v>
      </c>
    </row>
    <row r="56" spans="1:21" ht="14.4">
      <c r="A56" s="116"/>
      <c r="B56" s="134" t="s">
        <v>1552</v>
      </c>
      <c r="C56" s="70" t="s">
        <v>1521</v>
      </c>
      <c r="D56" s="70"/>
      <c r="E56" s="8"/>
      <c r="F56" s="8"/>
      <c r="G56" s="8" t="s">
        <v>59</v>
      </c>
      <c r="H56" s="8"/>
      <c r="I56" s="124" t="s">
        <v>1526</v>
      </c>
      <c r="J56">
        <f>0.24/10</f>
        <v>2.4E-2</v>
      </c>
    </row>
    <row r="57" spans="1:21" ht="14.4">
      <c r="A57" s="116"/>
      <c r="B57" s="133" t="s">
        <v>1553</v>
      </c>
      <c r="C57" s="45" t="s">
        <v>1521</v>
      </c>
      <c r="D57" s="8"/>
      <c r="E57" s="8" t="s">
        <v>436</v>
      </c>
      <c r="F57" s="8" t="s">
        <v>335</v>
      </c>
      <c r="G57" s="8"/>
      <c r="H57" s="8"/>
      <c r="I57" s="124" t="s">
        <v>1526</v>
      </c>
      <c r="J57">
        <v>3.6999999999999998E-2</v>
      </c>
    </row>
    <row r="58" spans="1:21" s="13" customFormat="1" ht="14.4">
      <c r="A58" s="117"/>
      <c r="B58" s="134" t="s">
        <v>1554</v>
      </c>
      <c r="C58" s="70" t="s">
        <v>1521</v>
      </c>
      <c r="D58" s="70"/>
      <c r="E58" s="8" t="s">
        <v>436</v>
      </c>
      <c r="F58" s="8"/>
      <c r="G58" s="8" t="s">
        <v>59</v>
      </c>
      <c r="H58" s="8" t="s">
        <v>294</v>
      </c>
      <c r="I58" s="124" t="s">
        <v>1526</v>
      </c>
      <c r="J58">
        <f>0.35/10</f>
        <v>3.4999999999999996E-2</v>
      </c>
    </row>
    <row r="59" spans="1:21" s="13" customFormat="1" ht="14.4">
      <c r="A59" s="117"/>
      <c r="B59" s="134" t="s">
        <v>1555</v>
      </c>
      <c r="C59" s="45" t="s">
        <v>1521</v>
      </c>
      <c r="D59" s="8"/>
      <c r="E59" s="8" t="s">
        <v>436</v>
      </c>
      <c r="F59" s="8" t="s">
        <v>335</v>
      </c>
      <c r="G59" s="8"/>
      <c r="H59" s="8"/>
      <c r="I59" s="124" t="s">
        <v>1526</v>
      </c>
      <c r="J59">
        <f>0.31/10</f>
        <v>3.1E-2</v>
      </c>
      <c r="K59"/>
      <c r="L59"/>
      <c r="M59"/>
      <c r="N59"/>
      <c r="O59"/>
      <c r="P59"/>
      <c r="Q59"/>
      <c r="R59"/>
      <c r="S59"/>
      <c r="T59"/>
      <c r="U59"/>
    </row>
    <row r="60" spans="1:21" s="13" customFormat="1" ht="14.4">
      <c r="A60" s="117"/>
      <c r="B60" s="134" t="s">
        <v>1556</v>
      </c>
      <c r="C60" s="70" t="s">
        <v>1521</v>
      </c>
      <c r="D60" s="70"/>
      <c r="E60" s="8" t="s">
        <v>1548</v>
      </c>
      <c r="F60" s="8"/>
      <c r="G60" s="8"/>
      <c r="H60" s="8"/>
      <c r="I60" s="123" t="s">
        <v>1557</v>
      </c>
      <c r="J60" t="s">
        <v>1558</v>
      </c>
    </row>
    <row r="61" spans="1:21" s="13" customFormat="1" ht="14.4">
      <c r="A61" s="117"/>
      <c r="B61" s="134" t="s">
        <v>1559</v>
      </c>
      <c r="C61" s="45" t="s">
        <v>1521</v>
      </c>
      <c r="D61" s="8"/>
      <c r="E61" s="8" t="s">
        <v>1548</v>
      </c>
      <c r="F61" s="8"/>
      <c r="G61" s="8"/>
      <c r="H61" s="8"/>
      <c r="I61" s="123" t="s">
        <v>689</v>
      </c>
      <c r="J61" t="s">
        <v>1560</v>
      </c>
      <c r="K61"/>
      <c r="L61"/>
      <c r="M61"/>
      <c r="N61"/>
      <c r="O61"/>
      <c r="P61"/>
      <c r="Q61"/>
      <c r="R61"/>
      <c r="S61"/>
      <c r="T61"/>
      <c r="U61"/>
    </row>
    <row r="62" spans="1:21" s="13" customFormat="1" ht="14.4">
      <c r="A62" s="117"/>
      <c r="B62" s="134" t="s">
        <v>1561</v>
      </c>
      <c r="C62" s="70" t="s">
        <v>1521</v>
      </c>
      <c r="D62" s="70"/>
      <c r="E62" s="8" t="s">
        <v>436</v>
      </c>
      <c r="F62" s="8"/>
      <c r="G62" s="8"/>
      <c r="H62" s="8"/>
      <c r="I62" s="124" t="s">
        <v>1526</v>
      </c>
      <c r="J62">
        <v>0.02</v>
      </c>
    </row>
    <row r="63" spans="1:21" s="104" customFormat="1" ht="14.4">
      <c r="A63" s="117"/>
      <c r="B63" s="125" t="s">
        <v>1562</v>
      </c>
      <c r="C63" s="45" t="s">
        <v>1521</v>
      </c>
      <c r="D63" s="8"/>
    </row>
    <row r="64" spans="1:21" ht="14.4">
      <c r="A64" s="116"/>
      <c r="B64" s="8"/>
      <c r="C64" s="70" t="s">
        <v>1521</v>
      </c>
      <c r="D64" s="70"/>
      <c r="E64" s="8"/>
      <c r="F64" s="8"/>
      <c r="G64" s="8"/>
      <c r="H64" s="8"/>
      <c r="I64" s="8"/>
    </row>
    <row r="65" spans="1:12" ht="14.4">
      <c r="A65" s="116"/>
      <c r="B65" s="8" t="s">
        <v>1563</v>
      </c>
      <c r="C65" s="45" t="s">
        <v>1521</v>
      </c>
      <c r="D65" s="8"/>
      <c r="E65" s="8"/>
      <c r="F65" s="8"/>
      <c r="G65" s="8"/>
      <c r="H65" s="8"/>
      <c r="I65" s="8"/>
    </row>
    <row r="66" spans="1:12" ht="14.4">
      <c r="A66" s="116"/>
      <c r="B66" s="29" t="s">
        <v>1564</v>
      </c>
      <c r="C66" s="70" t="s">
        <v>1521</v>
      </c>
      <c r="D66" s="70"/>
      <c r="E66" s="8"/>
      <c r="F66" s="8"/>
      <c r="G66" s="8"/>
      <c r="H66" s="8"/>
      <c r="I66" s="8"/>
    </row>
    <row r="67" spans="1:12" ht="14.4">
      <c r="A67" s="116"/>
      <c r="B67" s="42"/>
      <c r="C67" s="45" t="s">
        <v>1521</v>
      </c>
      <c r="D67" s="8"/>
      <c r="E67" s="8"/>
      <c r="F67" s="8"/>
      <c r="G67" s="8"/>
      <c r="H67" s="8"/>
      <c r="I67" s="8"/>
    </row>
    <row r="68" spans="1:12" s="13" customFormat="1" ht="14.4">
      <c r="A68" s="117"/>
      <c r="B68" s="142" t="s">
        <v>1565</v>
      </c>
      <c r="C68" s="70" t="s">
        <v>1521</v>
      </c>
      <c r="D68" s="70"/>
      <c r="E68" s="8" t="s">
        <v>436</v>
      </c>
      <c r="F68" s="8"/>
      <c r="G68" s="8"/>
      <c r="H68" s="8"/>
      <c r="I68" s="123" t="s">
        <v>1566</v>
      </c>
      <c r="J68" s="13" t="s">
        <v>1567</v>
      </c>
    </row>
    <row r="69" spans="1:12" s="13" customFormat="1" ht="14.4">
      <c r="A69" s="117"/>
      <c r="B69" s="142" t="s">
        <v>1568</v>
      </c>
      <c r="C69" s="45" t="s">
        <v>1521</v>
      </c>
      <c r="D69" s="8"/>
      <c r="E69" s="8"/>
      <c r="F69" s="8"/>
      <c r="G69" s="8"/>
      <c r="H69" s="8"/>
      <c r="I69" s="123" t="s">
        <v>1557</v>
      </c>
      <c r="J69" s="13" t="s">
        <v>1569</v>
      </c>
    </row>
    <row r="70" spans="1:12" s="13" customFormat="1" ht="14.4">
      <c r="A70" s="117"/>
      <c r="B70" s="142" t="s">
        <v>873</v>
      </c>
      <c r="C70" s="70" t="s">
        <v>1521</v>
      </c>
      <c r="D70" s="70"/>
      <c r="E70" s="8"/>
      <c r="F70" s="8"/>
      <c r="G70" s="8"/>
      <c r="H70" s="8"/>
      <c r="I70" s="15" t="s">
        <v>1540</v>
      </c>
      <c r="J70" s="13">
        <f>0.26/10</f>
        <v>2.6000000000000002E-2</v>
      </c>
    </row>
    <row r="71" spans="1:12" s="13" customFormat="1" ht="14.4">
      <c r="A71" s="117"/>
      <c r="B71" s="142" t="s">
        <v>609</v>
      </c>
      <c r="C71" s="45" t="s">
        <v>1521</v>
      </c>
      <c r="D71" s="8"/>
      <c r="E71" s="8"/>
      <c r="F71" s="8"/>
      <c r="G71" s="8"/>
      <c r="H71" s="8"/>
      <c r="I71" s="15" t="s">
        <v>1540</v>
      </c>
      <c r="J71" s="13">
        <f>0.07/10</f>
        <v>7.000000000000001E-3</v>
      </c>
    </row>
    <row r="72" spans="1:12" s="13" customFormat="1" ht="14.4">
      <c r="A72" s="117"/>
      <c r="B72" s="143" t="s">
        <v>1570</v>
      </c>
      <c r="C72" s="70" t="s">
        <v>1521</v>
      </c>
      <c r="D72" s="70"/>
      <c r="E72" s="8"/>
      <c r="F72" s="8"/>
      <c r="G72" s="8"/>
      <c r="H72" s="8"/>
      <c r="I72" s="123" t="s">
        <v>1571</v>
      </c>
      <c r="J72" s="13" t="s">
        <v>1572</v>
      </c>
    </row>
    <row r="73" spans="1:12" s="13" customFormat="1" ht="14.4">
      <c r="A73" s="117"/>
      <c r="B73" s="101" t="s">
        <v>1573</v>
      </c>
      <c r="C73" s="45" t="s">
        <v>1521</v>
      </c>
      <c r="D73" s="8" t="s">
        <v>1574</v>
      </c>
      <c r="E73" s="8"/>
      <c r="F73" s="8"/>
      <c r="G73" s="8"/>
      <c r="H73" s="8"/>
      <c r="I73" s="15" t="s">
        <v>1540</v>
      </c>
      <c r="J73" s="13" t="s">
        <v>1536</v>
      </c>
    </row>
    <row r="74" spans="1:12" s="13" customFormat="1" ht="14.4">
      <c r="A74" s="117"/>
      <c r="B74" s="142" t="s">
        <v>1575</v>
      </c>
      <c r="C74" s="70" t="s">
        <v>1521</v>
      </c>
      <c r="D74" s="70"/>
      <c r="E74" s="8" t="s">
        <v>436</v>
      </c>
      <c r="F74" s="8"/>
      <c r="G74" s="8"/>
      <c r="H74" s="8"/>
      <c r="I74" s="123" t="s">
        <v>1557</v>
      </c>
      <c r="J74" s="13" t="s">
        <v>1569</v>
      </c>
    </row>
    <row r="75" spans="1:12" s="13" customFormat="1" ht="14.4">
      <c r="A75" s="117"/>
      <c r="B75" s="142" t="s">
        <v>1576</v>
      </c>
      <c r="C75" s="45" t="s">
        <v>1521</v>
      </c>
      <c r="D75" s="8"/>
      <c r="E75" s="126" t="s">
        <v>1577</v>
      </c>
      <c r="F75" s="126" t="s">
        <v>1577</v>
      </c>
      <c r="G75" s="126" t="s">
        <v>1577</v>
      </c>
      <c r="H75" s="126" t="s">
        <v>1577</v>
      </c>
      <c r="I75" s="124" t="s">
        <v>1526</v>
      </c>
      <c r="J75" s="13">
        <v>2.3E-2</v>
      </c>
    </row>
    <row r="76" spans="1:12" s="13" customFormat="1" ht="14.4">
      <c r="A76" s="117"/>
      <c r="B76" s="142" t="s">
        <v>598</v>
      </c>
      <c r="C76" s="70" t="s">
        <v>1521</v>
      </c>
      <c r="D76" s="70"/>
      <c r="E76" s="8" t="s">
        <v>436</v>
      </c>
      <c r="F76" s="8"/>
      <c r="G76" s="8"/>
      <c r="H76" s="8"/>
      <c r="I76" s="8" t="s">
        <v>1578</v>
      </c>
      <c r="J76" s="13" t="s">
        <v>1569</v>
      </c>
    </row>
    <row r="77" spans="1:12" s="13" customFormat="1" ht="14.4">
      <c r="A77" s="117"/>
      <c r="B77" s="142" t="s">
        <v>1579</v>
      </c>
      <c r="C77" s="45" t="s">
        <v>1521</v>
      </c>
      <c r="D77" s="8"/>
      <c r="E77" s="8"/>
      <c r="F77" s="8"/>
      <c r="G77" s="8"/>
      <c r="H77" s="8" t="s">
        <v>294</v>
      </c>
      <c r="I77" s="123" t="s">
        <v>1566</v>
      </c>
      <c r="J77" s="13">
        <f>0.32/10</f>
        <v>3.2000000000000001E-2</v>
      </c>
      <c r="K77" s="13">
        <f>0.19/10</f>
        <v>1.9E-2</v>
      </c>
      <c r="L77" s="13" t="s">
        <v>1580</v>
      </c>
    </row>
    <row r="78" spans="1:12" s="120" customFormat="1" ht="14.4">
      <c r="A78" s="120" t="s">
        <v>1581</v>
      </c>
      <c r="B78" s="127" t="s">
        <v>1582</v>
      </c>
      <c r="C78" s="45" t="s">
        <v>1521</v>
      </c>
      <c r="D78" s="8"/>
      <c r="I78" s="120" t="s">
        <v>1583</v>
      </c>
    </row>
    <row r="79" spans="1:12" s="13" customFormat="1" ht="14.4">
      <c r="A79" s="117"/>
      <c r="B79" s="142" t="s">
        <v>412</v>
      </c>
      <c r="C79" s="45" t="s">
        <v>1521</v>
      </c>
      <c r="D79" s="8"/>
      <c r="E79" s="8"/>
      <c r="F79" s="8"/>
      <c r="G79" s="8"/>
      <c r="H79" s="8" t="s">
        <v>294</v>
      </c>
      <c r="I79" s="124" t="s">
        <v>1526</v>
      </c>
      <c r="J79" s="13">
        <f>0.35/10</f>
        <v>3.4999999999999996E-2</v>
      </c>
      <c r="L79" s="13" t="s">
        <v>1584</v>
      </c>
    </row>
    <row r="80" spans="1:12" s="121" customFormat="1" ht="14.4">
      <c r="A80" s="121" t="s">
        <v>1581</v>
      </c>
      <c r="B80" s="128" t="s">
        <v>1585</v>
      </c>
      <c r="C80" s="70" t="s">
        <v>1521</v>
      </c>
      <c r="D80" s="70"/>
      <c r="I80" s="121" t="s">
        <v>1583</v>
      </c>
    </row>
    <row r="81" spans="1:15" s="122" customFormat="1" ht="14.4">
      <c r="A81" s="122" t="s">
        <v>1581</v>
      </c>
      <c r="B81" s="129" t="s">
        <v>1586</v>
      </c>
      <c r="C81" s="45" t="s">
        <v>1521</v>
      </c>
      <c r="D81" s="8"/>
      <c r="I81" s="122" t="s">
        <v>1583</v>
      </c>
    </row>
    <row r="82" spans="1:15" s="13" customFormat="1" ht="14.4">
      <c r="A82" s="117"/>
      <c r="B82" s="142" t="s">
        <v>618</v>
      </c>
      <c r="C82" s="70" t="s">
        <v>1521</v>
      </c>
      <c r="D82" s="70"/>
      <c r="E82" s="8"/>
      <c r="F82" s="8"/>
      <c r="G82" s="8"/>
      <c r="H82" s="8"/>
      <c r="I82" s="15" t="s">
        <v>1540</v>
      </c>
      <c r="J82" s="13">
        <f>0.5/10</f>
        <v>0.05</v>
      </c>
      <c r="K82" s="13">
        <f>0.3/10</f>
        <v>0.03</v>
      </c>
      <c r="L82" s="13">
        <f>0.3/10</f>
        <v>0.03</v>
      </c>
      <c r="M82" s="13" t="s">
        <v>1587</v>
      </c>
    </row>
    <row r="83" spans="1:15" s="13" customFormat="1" ht="14.4">
      <c r="A83" s="117"/>
      <c r="B83" s="142" t="s">
        <v>1588</v>
      </c>
      <c r="C83" s="45" t="s">
        <v>1521</v>
      </c>
      <c r="D83" s="8"/>
      <c r="E83" s="8"/>
      <c r="F83" s="8"/>
      <c r="G83" s="8"/>
      <c r="H83" s="8" t="s">
        <v>294</v>
      </c>
      <c r="I83" s="124" t="s">
        <v>1526</v>
      </c>
      <c r="J83" s="13">
        <f>0.18/10</f>
        <v>1.7999999999999999E-2</v>
      </c>
      <c r="K83" s="13">
        <f>0.13/10</f>
        <v>1.3000000000000001E-2</v>
      </c>
      <c r="L83" s="13" t="s">
        <v>1589</v>
      </c>
    </row>
    <row r="84" spans="1:15" s="13" customFormat="1" ht="14.4">
      <c r="A84" s="117"/>
      <c r="B84" s="142" t="s">
        <v>123</v>
      </c>
      <c r="C84" s="70" t="s">
        <v>1521</v>
      </c>
      <c r="D84" s="70"/>
      <c r="E84" s="8" t="s">
        <v>436</v>
      </c>
      <c r="F84" s="8"/>
      <c r="G84" s="8"/>
      <c r="H84" s="8" t="s">
        <v>294</v>
      </c>
      <c r="I84" s="8" t="s">
        <v>1526</v>
      </c>
      <c r="J84" s="13">
        <f>0.44/10</f>
        <v>4.3999999999999997E-2</v>
      </c>
      <c r="K84" s="13">
        <f>0.65/10</f>
        <v>6.5000000000000002E-2</v>
      </c>
      <c r="L84" s="13">
        <f>0.56/10</f>
        <v>5.6000000000000008E-2</v>
      </c>
    </row>
    <row r="85" spans="1:15" s="13" customFormat="1" ht="14.4">
      <c r="A85" s="117"/>
      <c r="B85" s="142" t="s">
        <v>602</v>
      </c>
      <c r="C85" s="45" t="s">
        <v>1521</v>
      </c>
      <c r="D85" s="8"/>
      <c r="E85" s="8"/>
      <c r="F85" s="8"/>
      <c r="G85" s="8" t="s">
        <v>59</v>
      </c>
      <c r="H85" s="8" t="s">
        <v>294</v>
      </c>
      <c r="I85" s="123" t="s">
        <v>1526</v>
      </c>
      <c r="J85" s="13">
        <f>0.16/10</f>
        <v>1.6E-2</v>
      </c>
      <c r="L85" s="13" t="s">
        <v>1590</v>
      </c>
    </row>
    <row r="86" spans="1:15" s="13" customFormat="1" ht="14.4">
      <c r="A86" s="117"/>
      <c r="B86" s="142" t="s">
        <v>1591</v>
      </c>
      <c r="C86" s="70" t="s">
        <v>1521</v>
      </c>
      <c r="D86" s="70"/>
      <c r="E86" s="8" t="s">
        <v>1592</v>
      </c>
      <c r="F86" s="8"/>
      <c r="G86" s="8"/>
      <c r="H86" s="8"/>
      <c r="I86" s="8" t="s">
        <v>1526</v>
      </c>
      <c r="J86" s="13">
        <f>0.13/10</f>
        <v>1.3000000000000001E-2</v>
      </c>
      <c r="K86" s="13">
        <f>0.23/10</f>
        <v>2.3E-2</v>
      </c>
      <c r="L86" s="13">
        <f>0.42/10</f>
        <v>4.1999999999999996E-2</v>
      </c>
    </row>
    <row r="87" spans="1:15" s="13" customFormat="1" ht="14.4">
      <c r="A87" s="117"/>
      <c r="B87" s="142" t="s">
        <v>628</v>
      </c>
      <c r="C87" s="45" t="s">
        <v>1521</v>
      </c>
      <c r="D87" s="8"/>
      <c r="E87" s="8"/>
      <c r="F87" s="8"/>
      <c r="G87" s="8"/>
      <c r="H87" s="8"/>
      <c r="I87" s="15" t="s">
        <v>1540</v>
      </c>
      <c r="J87" s="13">
        <f>1.5/10</f>
        <v>0.15</v>
      </c>
      <c r="K87" s="13">
        <f>0.26/10</f>
        <v>2.6000000000000002E-2</v>
      </c>
      <c r="L87" s="13">
        <f>0.45/10</f>
        <v>4.4999999999999998E-2</v>
      </c>
      <c r="M87" s="13">
        <f>0.43/10</f>
        <v>4.2999999999999997E-2</v>
      </c>
      <c r="O87" s="13" t="s">
        <v>1593</v>
      </c>
    </row>
    <row r="88" spans="1:15" s="13" customFormat="1" ht="14.4">
      <c r="A88" s="117"/>
      <c r="B88" s="142" t="s">
        <v>631</v>
      </c>
      <c r="C88" s="70" t="s">
        <v>1521</v>
      </c>
      <c r="D88" s="70"/>
      <c r="E88" s="8"/>
      <c r="F88" s="8"/>
      <c r="G88" s="8"/>
      <c r="H88" s="8"/>
      <c r="I88" s="15" t="s">
        <v>1540</v>
      </c>
      <c r="J88" s="13">
        <f>0.12/10</f>
        <v>1.2E-2</v>
      </c>
      <c r="O88" s="13" t="s">
        <v>1594</v>
      </c>
    </row>
    <row r="89" spans="1:15" s="13" customFormat="1" ht="14.4">
      <c r="A89" s="117"/>
      <c r="B89" s="142" t="s">
        <v>1595</v>
      </c>
      <c r="C89" s="45" t="s">
        <v>1521</v>
      </c>
      <c r="D89" s="8"/>
      <c r="E89" s="8"/>
      <c r="F89" s="8"/>
      <c r="G89" s="8"/>
      <c r="H89" s="8"/>
      <c r="I89" s="123" t="s">
        <v>1566</v>
      </c>
      <c r="J89" s="13" t="s">
        <v>1536</v>
      </c>
    </row>
    <row r="90" spans="1:15" s="13" customFormat="1" ht="14.4">
      <c r="A90" s="117"/>
      <c r="B90" s="142" t="s">
        <v>1596</v>
      </c>
      <c r="C90" s="70" t="s">
        <v>1521</v>
      </c>
      <c r="D90" s="70"/>
      <c r="E90" s="8"/>
      <c r="F90" s="8"/>
      <c r="G90" s="8"/>
      <c r="H90" s="8" t="s">
        <v>294</v>
      </c>
      <c r="I90" s="123" t="s">
        <v>1597</v>
      </c>
      <c r="J90" s="13">
        <f>0.21/10</f>
        <v>2.0999999999999998E-2</v>
      </c>
      <c r="O90" s="13" t="s">
        <v>1598</v>
      </c>
    </row>
    <row r="91" spans="1:15" s="13" customFormat="1" ht="14.4">
      <c r="A91" s="117"/>
      <c r="B91" s="142" t="s">
        <v>1599</v>
      </c>
      <c r="C91" s="45" t="s">
        <v>1521</v>
      </c>
      <c r="D91" s="8"/>
      <c r="E91" s="8"/>
      <c r="F91" s="8"/>
      <c r="G91" s="8"/>
      <c r="H91" s="8"/>
      <c r="I91" s="123" t="s">
        <v>1557</v>
      </c>
      <c r="J91" s="13" t="s">
        <v>1569</v>
      </c>
    </row>
    <row r="92" spans="1:15" s="13" customFormat="1" ht="14.4">
      <c r="A92" s="117"/>
      <c r="B92" s="101" t="s">
        <v>401</v>
      </c>
      <c r="C92" s="70" t="s">
        <v>1521</v>
      </c>
      <c r="D92" s="70"/>
      <c r="E92" s="8"/>
      <c r="F92" s="8" t="s">
        <v>335</v>
      </c>
      <c r="G92" s="8"/>
      <c r="H92" s="8"/>
      <c r="I92" s="124" t="s">
        <v>1526</v>
      </c>
      <c r="J92" s="13">
        <f>0.2/10</f>
        <v>0.02</v>
      </c>
      <c r="K92" s="13">
        <f>0.43/10</f>
        <v>4.2999999999999997E-2</v>
      </c>
      <c r="O92" s="13" t="s">
        <v>1600</v>
      </c>
    </row>
    <row r="93" spans="1:15" s="13" customFormat="1" ht="14.4">
      <c r="A93" s="117"/>
    </row>
    <row r="94" spans="1:15" s="106" customFormat="1" ht="14.4">
      <c r="A94" s="108"/>
    </row>
    <row r="95" spans="1:15" s="106" customFormat="1" ht="14.4">
      <c r="A95" s="108"/>
    </row>
    <row r="96" spans="1:15" s="106" customFormat="1" ht="14.4">
      <c r="A96" s="108"/>
    </row>
    <row r="97" spans="1:2" ht="14.4">
      <c r="A97" s="59"/>
      <c r="B97" s="130" t="s">
        <v>1601</v>
      </c>
    </row>
    <row r="98" spans="1:2" ht="14.4">
      <c r="A98" s="59"/>
      <c r="B98" t="s">
        <v>1512</v>
      </c>
    </row>
    <row r="99" spans="1:2" ht="14.4">
      <c r="A99" s="59"/>
      <c r="B99" s="2" t="s">
        <v>1513</v>
      </c>
    </row>
    <row r="100" spans="1:2" ht="14.4">
      <c r="A100" s="59"/>
    </row>
    <row r="101" spans="1:2" ht="14.4">
      <c r="A101" s="59"/>
      <c r="B101" s="71" t="s">
        <v>1602</v>
      </c>
    </row>
    <row r="102" spans="1:2" ht="14.4">
      <c r="A102" s="59"/>
      <c r="B102" t="s">
        <v>1523</v>
      </c>
    </row>
    <row r="103" spans="1:2" ht="14.4">
      <c r="A103" s="59"/>
      <c r="B103" s="70" t="s">
        <v>1525</v>
      </c>
    </row>
    <row r="104" spans="1:2" ht="14.4">
      <c r="A104" s="59"/>
      <c r="B104" s="71" t="s">
        <v>1527</v>
      </c>
    </row>
    <row r="105" spans="1:2" ht="14.4">
      <c r="A105" s="59"/>
      <c r="B105" s="71" t="s">
        <v>1603</v>
      </c>
    </row>
    <row r="106" spans="1:2" ht="14.4">
      <c r="A106" s="59"/>
      <c r="B106" s="71" t="s">
        <v>1604</v>
      </c>
    </row>
    <row r="107" spans="1:2" ht="14.4">
      <c r="A107" s="59"/>
      <c r="B107" s="71" t="s">
        <v>1605</v>
      </c>
    </row>
    <row r="108" spans="1:2" ht="14.4">
      <c r="A108" s="59"/>
      <c r="B108" s="70" t="s">
        <v>1606</v>
      </c>
    </row>
    <row r="109" spans="1:2" ht="14.4">
      <c r="A109" s="59"/>
      <c r="B109" s="71" t="s">
        <v>1534</v>
      </c>
    </row>
    <row r="110" spans="1:2" ht="14.4">
      <c r="A110" s="59"/>
      <c r="B110" s="71" t="s">
        <v>1607</v>
      </c>
    </row>
    <row r="111" spans="1:2" ht="14.4">
      <c r="A111" s="59"/>
      <c r="B111" s="70" t="s">
        <v>1608</v>
      </c>
    </row>
    <row r="112" spans="1:2" ht="14.4">
      <c r="A112" s="59"/>
      <c r="B112" s="71" t="s">
        <v>1609</v>
      </c>
    </row>
    <row r="113" spans="1:2" ht="14.4">
      <c r="A113" s="59"/>
      <c r="B113" s="71" t="s">
        <v>1610</v>
      </c>
    </row>
    <row r="114" spans="1:2" ht="14.4">
      <c r="A114" s="59"/>
      <c r="B114" s="71" t="s">
        <v>1611</v>
      </c>
    </row>
    <row r="115" spans="1:2" ht="14.4">
      <c r="A115" s="59"/>
      <c r="B115" s="71" t="s">
        <v>1612</v>
      </c>
    </row>
    <row r="116" spans="1:2" ht="14.4">
      <c r="A116" s="59"/>
      <c r="B116" s="70" t="s">
        <v>1613</v>
      </c>
    </row>
    <row r="117" spans="1:2" ht="14.4">
      <c r="A117" s="59"/>
      <c r="B117" s="71" t="s">
        <v>1614</v>
      </c>
    </row>
    <row r="118" spans="1:2" ht="14.4">
      <c r="A118" s="59"/>
      <c r="B118" s="71" t="s">
        <v>1615</v>
      </c>
    </row>
    <row r="119" spans="1:2" ht="14.4">
      <c r="A119" s="59"/>
      <c r="B119" s="71" t="s">
        <v>1616</v>
      </c>
    </row>
    <row r="120" spans="1:2" ht="14.4">
      <c r="A120" s="59"/>
      <c r="B120" s="71" t="s">
        <v>1553</v>
      </c>
    </row>
    <row r="121" spans="1:2" ht="14.4">
      <c r="A121" s="59"/>
      <c r="B121" s="70" t="s">
        <v>1617</v>
      </c>
    </row>
    <row r="122" spans="1:2" ht="14.4">
      <c r="A122" s="59"/>
      <c r="B122" s="71" t="s">
        <v>1618</v>
      </c>
    </row>
    <row r="123" spans="1:2" ht="14.4">
      <c r="A123" s="59"/>
      <c r="B123" s="70" t="s">
        <v>1619</v>
      </c>
    </row>
    <row r="124" spans="1:2" ht="14.4">
      <c r="A124" s="59"/>
      <c r="B124" s="71" t="s">
        <v>1620</v>
      </c>
    </row>
    <row r="125" spans="1:2" ht="14.4">
      <c r="A125" s="59"/>
      <c r="B125" s="70" t="s">
        <v>1621</v>
      </c>
    </row>
    <row r="126" spans="1:2" s="72" customFormat="1" ht="14.4">
      <c r="A126" s="59"/>
      <c r="B126" s="105"/>
    </row>
    <row r="127" spans="1:2" ht="14.4">
      <c r="A127" s="59"/>
    </row>
    <row r="128" spans="1:2" ht="14.4">
      <c r="A128" s="59"/>
      <c r="B128" t="s">
        <v>1563</v>
      </c>
    </row>
    <row r="129" spans="1:2" ht="14.4">
      <c r="A129" s="59"/>
      <c r="B129" s="2" t="s">
        <v>1564</v>
      </c>
    </row>
    <row r="130" spans="1:2" ht="14.4">
      <c r="A130" s="59"/>
      <c r="B130" s="2"/>
    </row>
    <row r="131" spans="1:2" ht="14.4">
      <c r="A131" s="59"/>
      <c r="B131" s="13" t="s">
        <v>1565</v>
      </c>
    </row>
    <row r="132" spans="1:2" ht="14.4">
      <c r="A132" s="59"/>
      <c r="B132" s="13" t="s">
        <v>1568</v>
      </c>
    </row>
    <row r="133" spans="1:2" ht="14.4">
      <c r="A133" s="59"/>
      <c r="B133" s="13" t="s">
        <v>873</v>
      </c>
    </row>
    <row r="134" spans="1:2" ht="14.4">
      <c r="A134" s="59"/>
      <c r="B134" s="13" t="s">
        <v>609</v>
      </c>
    </row>
    <row r="135" spans="1:2" ht="14.4">
      <c r="A135" s="59"/>
      <c r="B135" s="13" t="s">
        <v>1570</v>
      </c>
    </row>
    <row r="136" spans="1:2" ht="14.4">
      <c r="A136" s="59"/>
      <c r="B136" s="13" t="s">
        <v>1573</v>
      </c>
    </row>
    <row r="137" spans="1:2" ht="14.4">
      <c r="A137" s="59"/>
      <c r="B137" s="13" t="s">
        <v>1575</v>
      </c>
    </row>
    <row r="138" spans="1:2" ht="14.4">
      <c r="A138" s="59"/>
      <c r="B138" s="13" t="s">
        <v>1576</v>
      </c>
    </row>
    <row r="139" spans="1:2" ht="14.4">
      <c r="A139" s="59"/>
      <c r="B139" s="13" t="s">
        <v>598</v>
      </c>
    </row>
    <row r="140" spans="1:2" ht="14.4">
      <c r="A140" s="59"/>
      <c r="B140" s="13" t="s">
        <v>1579</v>
      </c>
    </row>
    <row r="141" spans="1:2" ht="14.4">
      <c r="A141" s="59"/>
      <c r="B141" s="13" t="s">
        <v>1582</v>
      </c>
    </row>
    <row r="142" spans="1:2" ht="14.4">
      <c r="A142" s="59"/>
      <c r="B142" s="13" t="s">
        <v>412</v>
      </c>
    </row>
    <row r="143" spans="1:2" ht="14.4">
      <c r="A143" s="59"/>
      <c r="B143" s="13" t="s">
        <v>1585</v>
      </c>
    </row>
    <row r="144" spans="1:2" ht="14.4">
      <c r="A144" s="59"/>
      <c r="B144" s="13" t="s">
        <v>1586</v>
      </c>
    </row>
    <row r="145" spans="1:21" ht="14.4">
      <c r="A145" s="59"/>
      <c r="B145" s="13" t="s">
        <v>618</v>
      </c>
    </row>
    <row r="146" spans="1:21" ht="14.4">
      <c r="A146" s="59"/>
      <c r="B146" s="13" t="s">
        <v>1588</v>
      </c>
    </row>
    <row r="147" spans="1:21" ht="14.4">
      <c r="A147" s="59"/>
      <c r="B147" s="13" t="s">
        <v>123</v>
      </c>
    </row>
    <row r="148" spans="1:21" ht="14.4">
      <c r="A148" s="59"/>
      <c r="B148" s="13" t="s">
        <v>602</v>
      </c>
    </row>
    <row r="149" spans="1:21" ht="14.4">
      <c r="A149" s="59"/>
      <c r="B149" s="13" t="s">
        <v>1591</v>
      </c>
    </row>
    <row r="150" spans="1:21" ht="14.4">
      <c r="A150" s="59"/>
      <c r="B150" s="13" t="s">
        <v>628</v>
      </c>
    </row>
    <row r="151" spans="1:21" ht="14.4">
      <c r="A151" s="59"/>
      <c r="B151" s="13" t="s">
        <v>631</v>
      </c>
    </row>
    <row r="152" spans="1:21" ht="14.4">
      <c r="A152" s="59"/>
      <c r="B152" s="13" t="s">
        <v>1595</v>
      </c>
    </row>
    <row r="153" spans="1:21" ht="14.4">
      <c r="A153" s="59"/>
      <c r="B153" s="13" t="s">
        <v>1596</v>
      </c>
    </row>
    <row r="154" spans="1:21" ht="14.4">
      <c r="A154" s="59"/>
      <c r="B154" s="13" t="s">
        <v>1599</v>
      </c>
    </row>
    <row r="155" spans="1:21" ht="14.4">
      <c r="A155" s="59"/>
      <c r="B155" s="13" t="s">
        <v>401</v>
      </c>
    </row>
    <row r="156" spans="1:21" ht="15" customHeight="1">
      <c r="A156" s="59"/>
    </row>
    <row r="157" spans="1:21" s="107" customFormat="1" ht="14.4">
      <c r="A157" s="118"/>
      <c r="B157" s="106"/>
      <c r="C157" s="106"/>
      <c r="D157" s="106"/>
      <c r="E157" s="106"/>
      <c r="F157" s="106"/>
      <c r="G157" s="106"/>
      <c r="H157" s="106"/>
      <c r="I157" s="106"/>
      <c r="J157" s="106"/>
      <c r="K157" s="106"/>
      <c r="L157" s="106"/>
      <c r="M157" s="106"/>
      <c r="N157" s="106"/>
      <c r="O157" s="106"/>
      <c r="P157" s="106"/>
      <c r="Q157" s="106"/>
      <c r="R157" s="106"/>
      <c r="S157" s="106"/>
      <c r="T157" s="106"/>
      <c r="U157" s="106"/>
    </row>
    <row r="158" spans="1:21" s="107" customFormat="1" ht="14.4">
      <c r="A158" s="118"/>
      <c r="B158" s="106"/>
      <c r="C158" s="106"/>
      <c r="D158" s="106"/>
      <c r="E158" s="106"/>
      <c r="F158" s="106"/>
      <c r="G158" s="106"/>
      <c r="H158" s="106"/>
      <c r="I158" s="106"/>
      <c r="J158" s="106"/>
      <c r="K158" s="106"/>
      <c r="L158" s="106"/>
      <c r="M158" s="106"/>
      <c r="N158" s="106"/>
      <c r="O158" s="106"/>
      <c r="P158" s="106"/>
      <c r="Q158" s="106"/>
      <c r="R158" s="106"/>
      <c r="S158" s="106"/>
      <c r="T158" s="106"/>
      <c r="U158" s="106"/>
    </row>
    <row r="159" spans="1:21" s="107" customFormat="1" ht="14.4">
      <c r="A159" s="118"/>
      <c r="B159" s="106"/>
      <c r="C159" s="106"/>
      <c r="D159" s="106"/>
      <c r="E159" s="106"/>
      <c r="F159" s="106"/>
      <c r="G159" s="106"/>
      <c r="H159" s="106"/>
      <c r="I159" s="106"/>
      <c r="J159" s="106"/>
      <c r="K159" s="106"/>
      <c r="L159" s="106"/>
      <c r="M159" s="106"/>
      <c r="N159" s="106"/>
      <c r="O159" s="106"/>
      <c r="P159" s="106"/>
      <c r="Q159" s="106"/>
      <c r="R159" s="106"/>
      <c r="S159" s="106"/>
      <c r="T159" s="106"/>
      <c r="U159" s="106"/>
    </row>
    <row r="160" spans="1:21" ht="14.4">
      <c r="A160" s="118"/>
      <c r="B160" s="130" t="s">
        <v>1622</v>
      </c>
    </row>
    <row r="161" spans="1:2" ht="14.4">
      <c r="A161" s="118"/>
    </row>
    <row r="162" spans="1:2" ht="14.4">
      <c r="A162" s="118"/>
      <c r="B162" s="70" t="s">
        <v>1525</v>
      </c>
    </row>
    <row r="163" spans="1:2" ht="14.4">
      <c r="A163" s="118"/>
      <c r="B163" s="71" t="s">
        <v>1602</v>
      </c>
    </row>
    <row r="164" spans="1:2" ht="14.4">
      <c r="A164" s="118"/>
      <c r="B164" s="13" t="s">
        <v>1565</v>
      </c>
    </row>
    <row r="165" spans="1:2" ht="14.4">
      <c r="A165" s="118"/>
      <c r="B165" s="13" t="s">
        <v>1568</v>
      </c>
    </row>
    <row r="166" spans="1:2" ht="14.4">
      <c r="A166" s="118"/>
      <c r="B166" t="s">
        <v>1523</v>
      </c>
    </row>
    <row r="167" spans="1:2" ht="14.4">
      <c r="A167" s="118"/>
      <c r="B167" s="71" t="s">
        <v>1527</v>
      </c>
    </row>
    <row r="168" spans="1:2" ht="14.4">
      <c r="A168" s="118"/>
      <c r="B168" s="13" t="s">
        <v>873</v>
      </c>
    </row>
    <row r="169" spans="1:2" ht="14.4">
      <c r="A169" s="118"/>
      <c r="B169" s="13" t="s">
        <v>609</v>
      </c>
    </row>
    <row r="170" spans="1:2" ht="14.4">
      <c r="A170" s="118"/>
      <c r="B170" s="13" t="s">
        <v>1570</v>
      </c>
    </row>
    <row r="171" spans="1:2" ht="14.4">
      <c r="A171" s="118"/>
      <c r="B171" s="71" t="s">
        <v>1603</v>
      </c>
    </row>
    <row r="172" spans="1:2" ht="14.4">
      <c r="A172" s="118"/>
      <c r="B172" s="71" t="s">
        <v>1604</v>
      </c>
    </row>
    <row r="173" spans="1:2" ht="14.4">
      <c r="A173" s="118"/>
      <c r="B173" s="13" t="s">
        <v>1573</v>
      </c>
    </row>
    <row r="174" spans="1:2" ht="14.4">
      <c r="A174" s="118"/>
      <c r="B174" s="13" t="s">
        <v>1575</v>
      </c>
    </row>
    <row r="175" spans="1:2" ht="14.4">
      <c r="A175" s="118"/>
      <c r="B175" s="13" t="s">
        <v>1576</v>
      </c>
    </row>
    <row r="176" spans="1:2" ht="14.4">
      <c r="A176" s="118"/>
      <c r="B176" s="13" t="s">
        <v>598</v>
      </c>
    </row>
    <row r="177" spans="1:2" ht="14.4">
      <c r="A177" s="118"/>
      <c r="B177" s="71" t="s">
        <v>1605</v>
      </c>
    </row>
    <row r="178" spans="1:2" ht="14.4">
      <c r="A178" s="118"/>
      <c r="B178" s="13" t="s">
        <v>1579</v>
      </c>
    </row>
    <row r="179" spans="1:2" ht="14.4">
      <c r="A179" s="118"/>
      <c r="B179" s="70" t="s">
        <v>1606</v>
      </c>
    </row>
    <row r="180" spans="1:2" ht="14.4">
      <c r="A180" s="118"/>
      <c r="B180" s="71" t="s">
        <v>1534</v>
      </c>
    </row>
    <row r="181" spans="1:2" ht="14.4">
      <c r="A181" s="118"/>
      <c r="B181" s="71" t="s">
        <v>1607</v>
      </c>
    </row>
    <row r="182" spans="1:2" ht="14.4">
      <c r="A182" s="118"/>
      <c r="B182" s="70" t="s">
        <v>1608</v>
      </c>
    </row>
    <row r="183" spans="1:2" s="114" customFormat="1" ht="14.4">
      <c r="A183" s="118"/>
      <c r="B183" s="113" t="s">
        <v>1582</v>
      </c>
    </row>
    <row r="184" spans="1:2" s="114" customFormat="1" ht="14.4">
      <c r="A184" s="118"/>
      <c r="B184" s="115" t="s">
        <v>1609</v>
      </c>
    </row>
    <row r="185" spans="1:2" ht="14.4">
      <c r="A185" s="118"/>
      <c r="B185" s="71" t="s">
        <v>1610</v>
      </c>
    </row>
    <row r="186" spans="1:2" ht="14.4">
      <c r="A186" s="118"/>
      <c r="B186" s="71" t="s">
        <v>1611</v>
      </c>
    </row>
    <row r="187" spans="1:2" ht="14.4">
      <c r="A187" s="118"/>
      <c r="B187" s="71" t="s">
        <v>1612</v>
      </c>
    </row>
    <row r="188" spans="1:2" ht="14.4">
      <c r="A188" s="118"/>
      <c r="B188" s="70" t="s">
        <v>1613</v>
      </c>
    </row>
    <row r="189" spans="1:2" ht="14.4">
      <c r="A189" s="118"/>
      <c r="B189" s="13" t="s">
        <v>412</v>
      </c>
    </row>
    <row r="190" spans="1:2" s="59" customFormat="1" ht="14.4">
      <c r="A190" s="118"/>
      <c r="B190" s="108" t="s">
        <v>1585</v>
      </c>
    </row>
    <row r="191" spans="1:2" s="59" customFormat="1" ht="14.4">
      <c r="A191" s="118"/>
      <c r="B191" s="109" t="s">
        <v>1614</v>
      </c>
    </row>
    <row r="192" spans="1:2" s="111" customFormat="1" ht="14.4">
      <c r="A192" s="118"/>
      <c r="B192" s="110" t="s">
        <v>1586</v>
      </c>
    </row>
    <row r="193" spans="1:2" s="111" customFormat="1" ht="14.4">
      <c r="A193" s="118"/>
      <c r="B193" s="112" t="s">
        <v>1615</v>
      </c>
    </row>
    <row r="194" spans="1:2" ht="14.4">
      <c r="A194" s="118"/>
      <c r="B194" s="13" t="s">
        <v>618</v>
      </c>
    </row>
    <row r="195" spans="1:2" ht="14.4">
      <c r="A195" s="118"/>
      <c r="B195" s="71" t="s">
        <v>1616</v>
      </c>
    </row>
    <row r="196" spans="1:2" ht="14.4">
      <c r="A196" s="118"/>
      <c r="B196" s="13" t="s">
        <v>1588</v>
      </c>
    </row>
    <row r="197" spans="1:2" ht="14.4">
      <c r="A197" s="118"/>
      <c r="B197" s="71" t="s">
        <v>1553</v>
      </c>
    </row>
    <row r="198" spans="1:2" ht="14.4">
      <c r="A198" s="118"/>
      <c r="B198" s="13" t="s">
        <v>123</v>
      </c>
    </row>
    <row r="199" spans="1:2" ht="14.4">
      <c r="A199" s="118"/>
      <c r="B199" s="13" t="s">
        <v>602</v>
      </c>
    </row>
    <row r="200" spans="1:2" ht="14.4">
      <c r="A200" s="118"/>
      <c r="B200" s="13" t="s">
        <v>1591</v>
      </c>
    </row>
    <row r="201" spans="1:2" ht="14.4">
      <c r="A201" s="118"/>
      <c r="B201" s="13" t="s">
        <v>628</v>
      </c>
    </row>
    <row r="202" spans="1:2" ht="14.4">
      <c r="A202" s="118"/>
      <c r="B202" s="70" t="s">
        <v>1617</v>
      </c>
    </row>
    <row r="203" spans="1:2" ht="14.4">
      <c r="A203" s="118"/>
      <c r="B203" s="13" t="s">
        <v>631</v>
      </c>
    </row>
    <row r="204" spans="1:2" ht="14.4">
      <c r="A204" s="118"/>
      <c r="B204" s="13" t="s">
        <v>1595</v>
      </c>
    </row>
    <row r="205" spans="1:2" ht="14.4">
      <c r="A205" s="118"/>
      <c r="B205" s="71" t="s">
        <v>1618</v>
      </c>
    </row>
    <row r="206" spans="1:2" ht="14.4">
      <c r="A206" s="118"/>
      <c r="B206" s="70" t="s">
        <v>1619</v>
      </c>
    </row>
    <row r="207" spans="1:2" ht="14.4">
      <c r="A207" s="118"/>
      <c r="B207" s="71" t="s">
        <v>1620</v>
      </c>
    </row>
    <row r="208" spans="1:2" ht="14.4">
      <c r="A208" s="118"/>
      <c r="B208" s="70" t="s">
        <v>1621</v>
      </c>
    </row>
    <row r="209" spans="1:2" ht="14.4">
      <c r="A209" s="118"/>
      <c r="B209" s="13" t="s">
        <v>1596</v>
      </c>
    </row>
    <row r="210" spans="1:2" ht="14.4">
      <c r="A210" s="118"/>
      <c r="B210" s="13" t="s">
        <v>1599</v>
      </c>
    </row>
    <row r="211" spans="1:2" ht="14.4">
      <c r="A211" s="118"/>
      <c r="B211" s="13" t="s">
        <v>401</v>
      </c>
    </row>
  </sheetData>
  <sortState xmlns:xlrd2="http://schemas.microsoft.com/office/spreadsheetml/2017/richdata2" ref="B38:XFD62">
    <sortCondition ref="B38:B62"/>
  </sortState>
  <hyperlinks>
    <hyperlink ref="B36" r:id="rId1" xr:uid="{854492FA-0854-40EC-9069-B54F9297DD6D}"/>
    <hyperlink ref="B99" r:id="rId2" xr:uid="{F42D789B-346E-445C-84F2-ACD9E474C637}"/>
    <hyperlink ref="B129" r:id="rId3" display="https://www.scopus.com/results/results.uri?st1=%22lake+surface+water+temperature%22+%22warming%22&amp;st2=&amp;s=TITLE-ABS-KEY%28%22lake+surface+water+temperature%22+%22warming%22%29&amp;limit=50&amp;origin=searchbasic&amp;sort=plf-f&amp;src=s&amp;sot=b&amp;sdt=b&amp;sessionSearchId=6053e64ab19bbcd086630b78a92eb55b" xr:uid="{0AE9C4E1-7CE6-4656-9886-040A44C55F8B}"/>
    <hyperlink ref="B66" r:id="rId4" display="https://www.scopus.com/results/results.uri?st1=%22lake+surface+water+temperature%22+%22warming%22&amp;st2=&amp;s=TITLE-ABS-KEY%28%22lake+surface+water+temperature%22+%22warming%22%29&amp;limit=50&amp;origin=searchbasic&amp;sort=plf-f&amp;src=s&amp;sot=b&amp;sdt=b&amp;sessionSearchId=6053e64ab19bbcd086630b78a92eb55b" xr:uid="{6DAC1FF6-6E03-4C55-9ED7-C379650C3686}"/>
  </hyperlinks>
  <pageMargins left="0.7" right="0.7" top="0.75" bottom="0.75" header="0.3" footer="0.3"/>
  <legacy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88428-FBE1-4DAC-9C8E-C7BD3AB1AFC6}">
  <dimension ref="A1:AD195"/>
  <sheetViews>
    <sheetView topLeftCell="A38" workbookViewId="0">
      <selection activeCell="M56" sqref="M56"/>
    </sheetView>
  </sheetViews>
  <sheetFormatPr defaultRowHeight="15" customHeight="1"/>
  <cols>
    <col min="1" max="1" width="45" style="46" customWidth="1"/>
    <col min="2" max="2" width="1.15625" customWidth="1"/>
    <col min="3" max="3" width="88" customWidth="1"/>
    <col min="4" max="4" width="12" customWidth="1"/>
    <col min="5" max="5" width="9.15625" style="46" customWidth="1"/>
    <col min="6" max="6" width="10.41796875" customWidth="1"/>
    <col min="7" max="7" width="9.15625" customWidth="1"/>
    <col min="8" max="8" width="9" customWidth="1"/>
    <col min="9" max="9" width="8.41796875" customWidth="1"/>
    <col min="10" max="10" width="9.15625" customWidth="1"/>
    <col min="11" max="11" width="17.68359375" customWidth="1"/>
    <col min="12" max="12" width="14.41796875" customWidth="1"/>
    <col min="13" max="13" width="12" customWidth="1"/>
    <col min="14" max="14" width="9.15625" customWidth="1"/>
    <col min="15" max="15" width="7.68359375" customWidth="1"/>
    <col min="16" max="16" width="7.578125" customWidth="1"/>
    <col min="17" max="19" width="9.15625" customWidth="1"/>
    <col min="20" max="20" width="23.15625" customWidth="1"/>
    <col min="21" max="21" width="16.83984375" customWidth="1"/>
    <col min="22" max="22" width="7" customWidth="1"/>
    <col min="23" max="23" width="20.41796875" customWidth="1"/>
    <col min="24" max="24" width="9.15625" customWidth="1"/>
    <col min="16384" max="16384" width="9.15625" bestFit="1" customWidth="1"/>
  </cols>
  <sheetData>
    <row r="1" spans="1:24" ht="14.4">
      <c r="A1" s="53" t="s">
        <v>1623</v>
      </c>
      <c r="B1" s="52"/>
      <c r="C1" s="13" t="s">
        <v>1624</v>
      </c>
    </row>
    <row r="2" spans="1:24" ht="43.2">
      <c r="B2" s="51"/>
      <c r="C2" s="47" t="s">
        <v>978</v>
      </c>
      <c r="D2" s="47" t="s">
        <v>1625</v>
      </c>
      <c r="E2" s="49" t="s">
        <v>979</v>
      </c>
      <c r="F2" s="48" t="s">
        <v>0</v>
      </c>
      <c r="G2" s="48" t="s">
        <v>1</v>
      </c>
      <c r="H2" s="48" t="s">
        <v>2</v>
      </c>
      <c r="I2" s="48" t="s">
        <v>3</v>
      </c>
      <c r="J2" s="48" t="s">
        <v>1263</v>
      </c>
      <c r="K2" s="48" t="s">
        <v>5</v>
      </c>
      <c r="L2" s="48" t="s">
        <v>7</v>
      </c>
      <c r="M2" s="48" t="s">
        <v>8</v>
      </c>
      <c r="N2" s="48" t="s">
        <v>9</v>
      </c>
      <c r="O2" s="48" t="s">
        <v>11</v>
      </c>
      <c r="P2" s="48" t="s">
        <v>12</v>
      </c>
      <c r="Q2" s="48" t="s">
        <v>13</v>
      </c>
      <c r="R2" s="48" t="s">
        <v>14</v>
      </c>
      <c r="S2" s="48" t="s">
        <v>15</v>
      </c>
      <c r="T2" s="48" t="s">
        <v>16</v>
      </c>
      <c r="U2" s="48" t="s">
        <v>17</v>
      </c>
      <c r="V2" s="48" t="s">
        <v>18</v>
      </c>
      <c r="W2" s="48" t="s">
        <v>19</v>
      </c>
      <c r="X2" s="48" t="s">
        <v>20</v>
      </c>
    </row>
    <row r="3" spans="1:24" s="157" customFormat="1" ht="14.4">
      <c r="A3" s="156" t="s">
        <v>1626</v>
      </c>
      <c r="B3" s="164"/>
      <c r="C3" s="157" t="s">
        <v>1627</v>
      </c>
      <c r="D3" s="157" t="s">
        <v>1628</v>
      </c>
      <c r="E3" s="156">
        <v>2024</v>
      </c>
      <c r="S3" s="157" t="s">
        <v>226</v>
      </c>
      <c r="W3" s="157" t="s">
        <v>1629</v>
      </c>
    </row>
    <row r="4" spans="1:24" s="157" customFormat="1" ht="16.8">
      <c r="A4" s="158">
        <v>45791</v>
      </c>
      <c r="B4" s="164"/>
      <c r="C4" s="157" t="s">
        <v>1438</v>
      </c>
      <c r="D4" s="157" t="s">
        <v>1630</v>
      </c>
      <c r="E4" s="156">
        <v>2021</v>
      </c>
      <c r="F4" s="157">
        <v>5.8000000000000003E-2</v>
      </c>
      <c r="G4" s="157" t="s">
        <v>60</v>
      </c>
      <c r="J4" s="157" t="s">
        <v>1631</v>
      </c>
      <c r="K4" s="157" t="s">
        <v>271</v>
      </c>
      <c r="L4" s="157" t="s">
        <v>272</v>
      </c>
      <c r="M4" s="157" t="s">
        <v>134</v>
      </c>
      <c r="N4" s="157" t="s">
        <v>40</v>
      </c>
      <c r="O4" s="157">
        <v>10</v>
      </c>
      <c r="P4" s="157">
        <v>49</v>
      </c>
      <c r="Q4" s="157">
        <v>1966</v>
      </c>
      <c r="R4" s="157">
        <v>2015</v>
      </c>
      <c r="S4" s="157" t="s">
        <v>140</v>
      </c>
      <c r="T4" s="159" t="s">
        <v>1632</v>
      </c>
      <c r="U4" s="157" t="s">
        <v>274</v>
      </c>
      <c r="V4" s="157" t="s">
        <v>275</v>
      </c>
      <c r="W4" s="157" t="s">
        <v>276</v>
      </c>
      <c r="X4" s="160" t="s">
        <v>277</v>
      </c>
    </row>
    <row r="5" spans="1:24" s="157" customFormat="1" ht="14.4">
      <c r="A5" s="156"/>
      <c r="B5" s="164"/>
      <c r="C5" s="157" t="s">
        <v>1633</v>
      </c>
      <c r="D5" s="157" t="s">
        <v>1634</v>
      </c>
      <c r="E5" s="156">
        <v>2024</v>
      </c>
      <c r="F5" s="157">
        <v>0.111</v>
      </c>
      <c r="G5" s="157" t="s">
        <v>278</v>
      </c>
      <c r="H5" s="157">
        <v>44.124699999999997</v>
      </c>
      <c r="I5" s="157">
        <v>73.869299999999996</v>
      </c>
      <c r="J5" s="157" t="s">
        <v>37</v>
      </c>
      <c r="K5" s="157" t="s">
        <v>1635</v>
      </c>
      <c r="L5" s="157" t="s">
        <v>84</v>
      </c>
      <c r="M5" s="157" t="s">
        <v>30</v>
      </c>
      <c r="N5" s="157" t="s">
        <v>40</v>
      </c>
      <c r="O5" s="157">
        <v>135</v>
      </c>
      <c r="P5" s="157">
        <v>39</v>
      </c>
      <c r="Q5" s="157">
        <v>1984</v>
      </c>
      <c r="R5" s="157">
        <v>2023</v>
      </c>
      <c r="S5" s="157" t="s">
        <v>140</v>
      </c>
      <c r="T5" s="161" t="s">
        <v>1636</v>
      </c>
      <c r="U5" s="161" t="s">
        <v>281</v>
      </c>
      <c r="V5" s="157" t="s">
        <v>282</v>
      </c>
      <c r="X5" s="160" t="s">
        <v>284</v>
      </c>
    </row>
    <row r="6" spans="1:24" s="157" customFormat="1" ht="14.4">
      <c r="A6" s="156"/>
      <c r="B6" s="164"/>
      <c r="C6" s="157" t="s">
        <v>1637</v>
      </c>
      <c r="D6" s="157" t="s">
        <v>1638</v>
      </c>
      <c r="E6" s="156">
        <v>2022</v>
      </c>
      <c r="F6" s="157">
        <v>0.06</v>
      </c>
      <c r="G6" s="157" t="s">
        <v>70</v>
      </c>
      <c r="H6" s="157">
        <v>34</v>
      </c>
      <c r="I6" s="157">
        <v>86</v>
      </c>
      <c r="J6" s="157" t="s">
        <v>37</v>
      </c>
      <c r="K6" s="157" t="s">
        <v>425</v>
      </c>
      <c r="L6" s="157" t="s">
        <v>84</v>
      </c>
      <c r="M6" s="157" t="s">
        <v>30</v>
      </c>
      <c r="N6" s="157" t="s">
        <v>40</v>
      </c>
      <c r="O6" s="157">
        <v>2</v>
      </c>
      <c r="P6" s="157">
        <f>(R6-Q6)</f>
        <v>39</v>
      </c>
      <c r="Q6" s="157">
        <v>1979</v>
      </c>
      <c r="R6" s="157">
        <v>2018</v>
      </c>
      <c r="S6" s="157" t="s">
        <v>226</v>
      </c>
      <c r="T6" s="161" t="s">
        <v>1639</v>
      </c>
      <c r="U6" s="157" t="s">
        <v>847</v>
      </c>
      <c r="V6" s="157" t="s">
        <v>172</v>
      </c>
    </row>
    <row r="7" spans="1:24" s="157" customFormat="1" ht="14.4">
      <c r="A7" s="157" t="s">
        <v>1640</v>
      </c>
      <c r="B7" s="164"/>
      <c r="E7" s="156"/>
    </row>
    <row r="8" spans="1:24" ht="14.4">
      <c r="A8" t="s">
        <v>707</v>
      </c>
      <c r="B8" s="51"/>
      <c r="C8" t="s">
        <v>1220</v>
      </c>
      <c r="D8" t="s">
        <v>1641</v>
      </c>
      <c r="E8" s="46">
        <v>2022</v>
      </c>
      <c r="W8" t="s">
        <v>1629</v>
      </c>
    </row>
    <row r="9" spans="1:24" ht="14.4">
      <c r="B9" s="51"/>
      <c r="C9" t="s">
        <v>1642</v>
      </c>
      <c r="D9" t="s">
        <v>1643</v>
      </c>
      <c r="E9" s="46">
        <v>2016</v>
      </c>
      <c r="W9" t="s">
        <v>1629</v>
      </c>
    </row>
    <row r="10" spans="1:24" ht="14.4">
      <c r="B10" s="51"/>
      <c r="C10" t="s">
        <v>994</v>
      </c>
      <c r="D10" t="s">
        <v>1644</v>
      </c>
      <c r="E10" s="46">
        <v>2016</v>
      </c>
      <c r="W10" t="s">
        <v>1629</v>
      </c>
    </row>
    <row r="11" spans="1:24" ht="14.4">
      <c r="B11" s="51"/>
      <c r="C11" t="s">
        <v>1645</v>
      </c>
      <c r="D11" t="s">
        <v>1646</v>
      </c>
      <c r="E11" s="46">
        <v>2024</v>
      </c>
    </row>
    <row r="12" spans="1:24" ht="14.4">
      <c r="B12" s="51"/>
      <c r="C12" t="s">
        <v>1647</v>
      </c>
      <c r="D12" t="s">
        <v>1648</v>
      </c>
      <c r="E12" s="46">
        <v>2017</v>
      </c>
      <c r="F12">
        <v>3.1E-2</v>
      </c>
      <c r="G12" t="s">
        <v>252</v>
      </c>
      <c r="J12" t="s">
        <v>1649</v>
      </c>
      <c r="K12" t="s">
        <v>62</v>
      </c>
      <c r="M12" t="s">
        <v>30</v>
      </c>
      <c r="N12" t="s">
        <v>31</v>
      </c>
      <c r="O12" t="s">
        <v>1650</v>
      </c>
      <c r="P12">
        <v>20</v>
      </c>
      <c r="Q12">
        <v>1996</v>
      </c>
      <c r="R12">
        <v>2015</v>
      </c>
      <c r="S12" t="s">
        <v>140</v>
      </c>
      <c r="T12" s="14" t="s">
        <v>823</v>
      </c>
      <c r="U12" t="s">
        <v>289</v>
      </c>
      <c r="X12" s="2" t="s">
        <v>1651</v>
      </c>
    </row>
    <row r="13" spans="1:24" ht="14.4">
      <c r="B13" s="51"/>
      <c r="C13" t="s">
        <v>1647</v>
      </c>
      <c r="D13" t="s">
        <v>1648</v>
      </c>
      <c r="E13" s="46">
        <v>2017</v>
      </c>
      <c r="F13">
        <v>2.1000000000000001E-2</v>
      </c>
      <c r="G13" t="s">
        <v>1652</v>
      </c>
      <c r="J13" t="s">
        <v>1649</v>
      </c>
      <c r="K13" t="s">
        <v>62</v>
      </c>
      <c r="M13" t="s">
        <v>30</v>
      </c>
      <c r="N13" t="s">
        <v>31</v>
      </c>
      <c r="O13" t="s">
        <v>1650</v>
      </c>
      <c r="P13">
        <v>20</v>
      </c>
      <c r="Q13">
        <v>1996</v>
      </c>
      <c r="R13">
        <v>2015</v>
      </c>
      <c r="S13" t="s">
        <v>140</v>
      </c>
      <c r="T13" s="14" t="s">
        <v>823</v>
      </c>
      <c r="U13" t="s">
        <v>289</v>
      </c>
      <c r="X13" s="2" t="s">
        <v>1651</v>
      </c>
    </row>
    <row r="14" spans="1:24" ht="14.4">
      <c r="B14" s="51"/>
      <c r="C14" t="s">
        <v>1647</v>
      </c>
      <c r="D14" t="s">
        <v>1648</v>
      </c>
      <c r="E14" s="46">
        <v>2017</v>
      </c>
      <c r="F14">
        <v>2.4E-2</v>
      </c>
      <c r="G14" t="s">
        <v>285</v>
      </c>
      <c r="J14" t="s">
        <v>285</v>
      </c>
      <c r="K14" t="s">
        <v>62</v>
      </c>
      <c r="M14" t="s">
        <v>30</v>
      </c>
      <c r="N14" t="s">
        <v>31</v>
      </c>
      <c r="O14" t="s">
        <v>1650</v>
      </c>
      <c r="P14">
        <v>20</v>
      </c>
      <c r="Q14">
        <v>1996</v>
      </c>
      <c r="R14">
        <v>2015</v>
      </c>
      <c r="S14" t="s">
        <v>140</v>
      </c>
      <c r="T14" s="14" t="s">
        <v>823</v>
      </c>
      <c r="U14" t="s">
        <v>289</v>
      </c>
      <c r="X14" s="2" t="s">
        <v>1651</v>
      </c>
    </row>
    <row r="15" spans="1:24" ht="14.4">
      <c r="B15" s="51"/>
      <c r="C15" t="s">
        <v>1653</v>
      </c>
      <c r="D15" t="s">
        <v>1654</v>
      </c>
      <c r="E15" s="46">
        <v>2021</v>
      </c>
      <c r="W15" t="s">
        <v>1629</v>
      </c>
    </row>
    <row r="16" spans="1:24" ht="14.4">
      <c r="B16" s="51"/>
      <c r="C16" t="s">
        <v>1655</v>
      </c>
      <c r="D16" t="s">
        <v>1656</v>
      </c>
      <c r="E16" s="46">
        <v>2014</v>
      </c>
      <c r="W16" t="s">
        <v>1629</v>
      </c>
    </row>
    <row r="17" spans="2:24" ht="14.4">
      <c r="B17" s="51"/>
      <c r="C17" t="s">
        <v>1657</v>
      </c>
      <c r="D17" t="s">
        <v>1648</v>
      </c>
      <c r="E17" s="46">
        <v>2019</v>
      </c>
      <c r="W17" t="s">
        <v>1629</v>
      </c>
    </row>
    <row r="18" spans="2:24" ht="14.4">
      <c r="B18" s="51"/>
      <c r="C18" t="s">
        <v>1658</v>
      </c>
      <c r="D18" t="s">
        <v>1648</v>
      </c>
      <c r="E18" s="46">
        <v>2016</v>
      </c>
      <c r="F18">
        <v>0.05</v>
      </c>
      <c r="G18" t="s">
        <v>1659</v>
      </c>
      <c r="J18" t="s">
        <v>940</v>
      </c>
      <c r="M18" t="s">
        <v>30</v>
      </c>
      <c r="N18" t="s">
        <v>31</v>
      </c>
      <c r="P18">
        <f>(R18-Q18)</f>
        <v>36</v>
      </c>
      <c r="Q18">
        <v>1979</v>
      </c>
      <c r="R18">
        <v>2015</v>
      </c>
      <c r="S18" t="s">
        <v>140</v>
      </c>
      <c r="U18" t="s">
        <v>1660</v>
      </c>
      <c r="W18" t="s">
        <v>1661</v>
      </c>
      <c r="X18" s="2" t="s">
        <v>1662</v>
      </c>
    </row>
    <row r="19" spans="2:24" ht="14.4">
      <c r="B19" s="51"/>
      <c r="C19" t="s">
        <v>1663</v>
      </c>
      <c r="D19" t="s">
        <v>1664</v>
      </c>
      <c r="E19" s="46">
        <v>2023</v>
      </c>
      <c r="W19" t="s">
        <v>1629</v>
      </c>
    </row>
    <row r="20" spans="2:24" ht="14.4">
      <c r="B20" s="51"/>
      <c r="C20" t="s">
        <v>1665</v>
      </c>
      <c r="D20" t="s">
        <v>1666</v>
      </c>
      <c r="E20" s="46">
        <v>2021</v>
      </c>
      <c r="W20" t="s">
        <v>1629</v>
      </c>
    </row>
    <row r="21" spans="2:24" ht="14.4">
      <c r="B21" s="51"/>
      <c r="C21" t="s">
        <v>1667</v>
      </c>
      <c r="D21" t="s">
        <v>1668</v>
      </c>
      <c r="E21" s="46">
        <v>2025</v>
      </c>
      <c r="W21" t="s">
        <v>1629</v>
      </c>
    </row>
    <row r="22" spans="2:24" ht="14.4">
      <c r="B22" s="51"/>
      <c r="C22" t="s">
        <v>1669</v>
      </c>
      <c r="D22" t="s">
        <v>1643</v>
      </c>
      <c r="E22" s="46">
        <v>2024</v>
      </c>
      <c r="W22" t="s">
        <v>1629</v>
      </c>
    </row>
    <row r="23" spans="2:24" ht="14.4">
      <c r="B23" s="51"/>
      <c r="C23" t="s">
        <v>1670</v>
      </c>
      <c r="D23" t="s">
        <v>1671</v>
      </c>
      <c r="E23" s="46">
        <v>2023</v>
      </c>
      <c r="F23">
        <v>0.03</v>
      </c>
      <c r="G23" t="s">
        <v>295</v>
      </c>
      <c r="H23" s="60" t="s">
        <v>1672</v>
      </c>
      <c r="I23" s="60" t="s">
        <v>1673</v>
      </c>
      <c r="J23" t="s">
        <v>37</v>
      </c>
      <c r="K23" t="s">
        <v>296</v>
      </c>
      <c r="M23" t="s">
        <v>30</v>
      </c>
      <c r="N23" t="s">
        <v>824</v>
      </c>
      <c r="O23">
        <v>535</v>
      </c>
      <c r="P23">
        <f>(R23-Q23)</f>
        <v>37</v>
      </c>
      <c r="Q23">
        <v>1984</v>
      </c>
      <c r="R23">
        <v>2021</v>
      </c>
      <c r="S23" t="s">
        <v>140</v>
      </c>
      <c r="T23" s="14" t="s">
        <v>299</v>
      </c>
      <c r="U23" t="s">
        <v>300</v>
      </c>
      <c r="V23" t="s">
        <v>301</v>
      </c>
      <c r="W23" t="s">
        <v>302</v>
      </c>
      <c r="X23" s="2" t="s">
        <v>303</v>
      </c>
    </row>
    <row r="24" spans="2:24" ht="14.4">
      <c r="B24" s="51"/>
      <c r="C24" t="s">
        <v>1670</v>
      </c>
      <c r="D24" t="s">
        <v>1671</v>
      </c>
      <c r="E24" s="46">
        <v>2023</v>
      </c>
      <c r="F24">
        <v>0.05</v>
      </c>
      <c r="G24" t="s">
        <v>295</v>
      </c>
      <c r="H24" s="60" t="s">
        <v>1672</v>
      </c>
      <c r="I24" s="60" t="s">
        <v>1673</v>
      </c>
      <c r="J24" t="s">
        <v>37</v>
      </c>
      <c r="K24" t="s">
        <v>296</v>
      </c>
      <c r="M24" t="s">
        <v>134</v>
      </c>
      <c r="N24" t="s">
        <v>824</v>
      </c>
      <c r="T24" s="14"/>
      <c r="X24" s="2"/>
    </row>
    <row r="25" spans="2:24" ht="14.4">
      <c r="B25" s="51"/>
      <c r="C25" t="s">
        <v>1670</v>
      </c>
      <c r="D25" t="s">
        <v>1671</v>
      </c>
      <c r="E25" s="46">
        <v>2023</v>
      </c>
      <c r="G25" t="s">
        <v>295</v>
      </c>
      <c r="H25" s="60" t="s">
        <v>1672</v>
      </c>
      <c r="I25" s="60" t="s">
        <v>1673</v>
      </c>
      <c r="J25" t="s">
        <v>37</v>
      </c>
      <c r="K25" t="s">
        <v>296</v>
      </c>
      <c r="M25" t="s">
        <v>30</v>
      </c>
      <c r="N25" t="s">
        <v>1674</v>
      </c>
      <c r="O25">
        <v>535</v>
      </c>
      <c r="P25">
        <f>(R25-Q25)</f>
        <v>37</v>
      </c>
      <c r="Q25">
        <v>1984</v>
      </c>
      <c r="R25">
        <v>2021</v>
      </c>
      <c r="S25" t="s">
        <v>140</v>
      </c>
      <c r="T25" s="14" t="s">
        <v>299</v>
      </c>
      <c r="U25" t="s">
        <v>300</v>
      </c>
      <c r="V25" t="s">
        <v>301</v>
      </c>
      <c r="W25" t="s">
        <v>1675</v>
      </c>
      <c r="X25" s="2" t="s">
        <v>303</v>
      </c>
    </row>
    <row r="26" spans="2:24" ht="14.4">
      <c r="B26" s="51"/>
      <c r="C26" t="s">
        <v>1670</v>
      </c>
      <c r="D26" t="s">
        <v>1671</v>
      </c>
      <c r="E26" s="46">
        <v>2023</v>
      </c>
      <c r="G26" t="s">
        <v>295</v>
      </c>
      <c r="H26" s="60" t="s">
        <v>1672</v>
      </c>
      <c r="I26" s="60" t="s">
        <v>1673</v>
      </c>
      <c r="J26" t="s">
        <v>37</v>
      </c>
      <c r="K26" t="s">
        <v>296</v>
      </c>
      <c r="M26" t="s">
        <v>134</v>
      </c>
      <c r="N26" t="s">
        <v>1674</v>
      </c>
      <c r="T26" s="14"/>
      <c r="X26" s="2"/>
    </row>
    <row r="27" spans="2:24" ht="14.4">
      <c r="B27" s="51"/>
      <c r="C27" t="s">
        <v>1670</v>
      </c>
      <c r="D27" t="s">
        <v>1671</v>
      </c>
      <c r="E27" s="46">
        <v>2023</v>
      </c>
      <c r="F27">
        <v>0.03</v>
      </c>
      <c r="G27" t="s">
        <v>295</v>
      </c>
      <c r="H27" s="60" t="s">
        <v>1672</v>
      </c>
      <c r="I27" s="60" t="s">
        <v>1673</v>
      </c>
      <c r="J27" t="s">
        <v>37</v>
      </c>
      <c r="K27" t="s">
        <v>296</v>
      </c>
      <c r="M27" t="s">
        <v>30</v>
      </c>
      <c r="N27" t="s">
        <v>305</v>
      </c>
      <c r="O27">
        <v>535</v>
      </c>
      <c r="P27">
        <f>(R27-Q27)</f>
        <v>37</v>
      </c>
      <c r="Q27">
        <v>1984</v>
      </c>
      <c r="R27">
        <v>2021</v>
      </c>
      <c r="S27" t="s">
        <v>140</v>
      </c>
      <c r="T27" s="14" t="s">
        <v>299</v>
      </c>
      <c r="U27" t="s">
        <v>300</v>
      </c>
      <c r="V27" t="s">
        <v>301</v>
      </c>
      <c r="X27" s="2" t="s">
        <v>303</v>
      </c>
    </row>
    <row r="28" spans="2:24" ht="14.4">
      <c r="B28" s="51"/>
      <c r="C28" t="s">
        <v>1670</v>
      </c>
      <c r="D28" t="s">
        <v>1671</v>
      </c>
      <c r="E28" s="46">
        <v>2023</v>
      </c>
      <c r="F28">
        <v>0.06</v>
      </c>
      <c r="G28" t="s">
        <v>295</v>
      </c>
      <c r="H28" s="60" t="s">
        <v>1672</v>
      </c>
      <c r="I28" s="60" t="s">
        <v>1673</v>
      </c>
      <c r="J28" t="s">
        <v>37</v>
      </c>
      <c r="K28" t="s">
        <v>296</v>
      </c>
      <c r="M28" t="s">
        <v>134</v>
      </c>
      <c r="N28" t="s">
        <v>305</v>
      </c>
      <c r="T28" s="14"/>
      <c r="X28" s="2"/>
    </row>
    <row r="29" spans="2:24" ht="14.4">
      <c r="B29" s="51"/>
      <c r="C29" t="s">
        <v>1670</v>
      </c>
      <c r="D29" t="s">
        <v>1671</v>
      </c>
      <c r="E29" s="46">
        <v>2023</v>
      </c>
      <c r="F29">
        <v>0.13</v>
      </c>
      <c r="G29" t="s">
        <v>295</v>
      </c>
      <c r="H29" s="60" t="s">
        <v>1672</v>
      </c>
      <c r="I29" s="60" t="s">
        <v>1673</v>
      </c>
      <c r="J29" t="s">
        <v>37</v>
      </c>
      <c r="K29" t="s">
        <v>296</v>
      </c>
      <c r="M29" t="s">
        <v>30</v>
      </c>
      <c r="N29" t="s">
        <v>306</v>
      </c>
      <c r="O29">
        <v>535</v>
      </c>
      <c r="P29">
        <f>(R29-Q29)</f>
        <v>37</v>
      </c>
      <c r="Q29">
        <v>1984</v>
      </c>
      <c r="R29">
        <v>2021</v>
      </c>
      <c r="S29" t="s">
        <v>140</v>
      </c>
      <c r="T29" s="14" t="s">
        <v>299</v>
      </c>
      <c r="U29" t="s">
        <v>300</v>
      </c>
      <c r="V29" t="s">
        <v>301</v>
      </c>
      <c r="X29" s="2" t="s">
        <v>303</v>
      </c>
    </row>
    <row r="30" spans="2:24" ht="14.4">
      <c r="B30" s="51"/>
      <c r="C30" t="s">
        <v>1670</v>
      </c>
      <c r="D30" t="s">
        <v>1671</v>
      </c>
      <c r="E30" s="46">
        <v>2023</v>
      </c>
      <c r="F30">
        <v>0.27</v>
      </c>
      <c r="G30" t="s">
        <v>295</v>
      </c>
      <c r="H30" s="60" t="s">
        <v>1672</v>
      </c>
      <c r="I30" s="60" t="s">
        <v>1673</v>
      </c>
      <c r="J30" t="s">
        <v>37</v>
      </c>
      <c r="K30" t="s">
        <v>296</v>
      </c>
      <c r="M30" t="s">
        <v>134</v>
      </c>
      <c r="N30" t="s">
        <v>306</v>
      </c>
    </row>
    <row r="31" spans="2:24" ht="14.4">
      <c r="B31" s="51"/>
      <c r="C31" t="s">
        <v>1676</v>
      </c>
      <c r="D31" t="s">
        <v>1677</v>
      </c>
      <c r="E31" s="46">
        <v>2021</v>
      </c>
      <c r="F31">
        <v>0.106</v>
      </c>
      <c r="G31" t="s">
        <v>825</v>
      </c>
      <c r="H31" t="s">
        <v>1678</v>
      </c>
      <c r="I31" t="s">
        <v>1679</v>
      </c>
      <c r="J31" t="s">
        <v>47</v>
      </c>
      <c r="K31" t="s">
        <v>296</v>
      </c>
      <c r="L31" t="s">
        <v>84</v>
      </c>
      <c r="M31" t="s">
        <v>30</v>
      </c>
      <c r="N31" t="s">
        <v>40</v>
      </c>
      <c r="O31">
        <v>1</v>
      </c>
      <c r="P31">
        <f>(R31-Q31)</f>
        <v>35</v>
      </c>
      <c r="Q31">
        <v>1984</v>
      </c>
      <c r="R31">
        <v>2019</v>
      </c>
      <c r="S31" t="s">
        <v>140</v>
      </c>
      <c r="T31" s="14" t="s">
        <v>311</v>
      </c>
      <c r="U31" t="s">
        <v>309</v>
      </c>
      <c r="V31" t="s">
        <v>172</v>
      </c>
      <c r="W31" t="s">
        <v>826</v>
      </c>
    </row>
    <row r="32" spans="2:24" ht="14.4">
      <c r="B32" s="51"/>
      <c r="C32" t="s">
        <v>1676</v>
      </c>
      <c r="D32" t="s">
        <v>1677</v>
      </c>
      <c r="E32" s="46">
        <v>2021</v>
      </c>
      <c r="F32">
        <v>5.2999999999999999E-2</v>
      </c>
      <c r="G32" t="s">
        <v>825</v>
      </c>
      <c r="H32" t="s">
        <v>1680</v>
      </c>
      <c r="I32" t="s">
        <v>1681</v>
      </c>
      <c r="J32" t="s">
        <v>47</v>
      </c>
      <c r="K32" t="s">
        <v>296</v>
      </c>
      <c r="L32" t="s">
        <v>84</v>
      </c>
      <c r="M32" t="s">
        <v>30</v>
      </c>
      <c r="N32" t="s">
        <v>40</v>
      </c>
      <c r="O32">
        <v>1</v>
      </c>
      <c r="P32">
        <f>(R32-Q32)</f>
        <v>35</v>
      </c>
      <c r="Q32">
        <v>1984</v>
      </c>
      <c r="R32">
        <v>2019</v>
      </c>
      <c r="S32" t="s">
        <v>140</v>
      </c>
      <c r="T32" s="14" t="s">
        <v>311</v>
      </c>
      <c r="U32" t="s">
        <v>309</v>
      </c>
      <c r="V32" t="s">
        <v>172</v>
      </c>
      <c r="W32" t="s">
        <v>827</v>
      </c>
    </row>
    <row r="33" spans="1:24" ht="14.4">
      <c r="B33" s="51"/>
      <c r="C33" t="s">
        <v>1416</v>
      </c>
      <c r="D33" t="s">
        <v>1682</v>
      </c>
      <c r="E33" s="46">
        <v>2025</v>
      </c>
      <c r="W33" t="s">
        <v>1629</v>
      </c>
    </row>
    <row r="34" spans="1:24" ht="14.4">
      <c r="B34" s="51"/>
      <c r="C34" t="s">
        <v>1683</v>
      </c>
      <c r="D34" t="s">
        <v>1656</v>
      </c>
      <c r="E34" s="46">
        <v>2020</v>
      </c>
      <c r="W34" t="s">
        <v>1629</v>
      </c>
    </row>
    <row r="35" spans="1:24" ht="14.4">
      <c r="B35" s="51"/>
      <c r="C35" t="s">
        <v>1684</v>
      </c>
      <c r="D35" t="s">
        <v>1685</v>
      </c>
      <c r="E35" s="46">
        <v>2024</v>
      </c>
      <c r="W35" t="s">
        <v>1629</v>
      </c>
    </row>
    <row r="36" spans="1:24" ht="14.4">
      <c r="B36" s="51"/>
      <c r="C36" t="s">
        <v>1686</v>
      </c>
      <c r="D36" t="s">
        <v>1668</v>
      </c>
      <c r="E36" s="46">
        <v>2025</v>
      </c>
      <c r="W36" t="s">
        <v>1629</v>
      </c>
    </row>
    <row r="37" spans="1:24" ht="14.4">
      <c r="B37" s="51"/>
      <c r="C37" t="s">
        <v>1687</v>
      </c>
      <c r="D37" t="s">
        <v>1688</v>
      </c>
      <c r="E37" s="46">
        <v>2024</v>
      </c>
      <c r="F37">
        <v>1.7999999999999999E-2</v>
      </c>
      <c r="G37" t="s">
        <v>312</v>
      </c>
      <c r="J37" t="s">
        <v>37</v>
      </c>
      <c r="K37" t="s">
        <v>62</v>
      </c>
      <c r="L37" t="s">
        <v>313</v>
      </c>
      <c r="M37" t="s">
        <v>30</v>
      </c>
      <c r="N37" t="s">
        <v>148</v>
      </c>
      <c r="O37">
        <v>80</v>
      </c>
      <c r="P37">
        <f>(R37-Q37)</f>
        <v>34</v>
      </c>
      <c r="Q37">
        <v>1986</v>
      </c>
      <c r="R37">
        <v>2020</v>
      </c>
      <c r="S37" t="s">
        <v>314</v>
      </c>
      <c r="T37" s="14" t="s">
        <v>315</v>
      </c>
      <c r="U37" t="s">
        <v>316</v>
      </c>
      <c r="V37" t="s">
        <v>318</v>
      </c>
      <c r="X37" s="2" t="s">
        <v>317</v>
      </c>
    </row>
    <row r="38" spans="1:24" ht="14.4">
      <c r="B38" s="51"/>
      <c r="C38" t="s">
        <v>1687</v>
      </c>
      <c r="D38" t="s">
        <v>1688</v>
      </c>
      <c r="E38" s="46">
        <v>2024</v>
      </c>
      <c r="F38">
        <v>1.2999999999999999E-2</v>
      </c>
      <c r="G38" t="s">
        <v>312</v>
      </c>
      <c r="J38" t="s">
        <v>37</v>
      </c>
      <c r="K38" t="s">
        <v>62</v>
      </c>
      <c r="L38" t="s">
        <v>313</v>
      </c>
      <c r="M38" t="s">
        <v>30</v>
      </c>
      <c r="N38" t="s">
        <v>155</v>
      </c>
      <c r="O38">
        <v>80</v>
      </c>
      <c r="P38">
        <f>(R38-Q38)</f>
        <v>34</v>
      </c>
      <c r="Q38">
        <v>1986</v>
      </c>
      <c r="R38">
        <v>2020</v>
      </c>
      <c r="S38" t="s">
        <v>226</v>
      </c>
      <c r="T38" s="14" t="s">
        <v>315</v>
      </c>
      <c r="U38" t="s">
        <v>316</v>
      </c>
      <c r="V38" t="s">
        <v>318</v>
      </c>
      <c r="X38" s="2" t="s">
        <v>317</v>
      </c>
    </row>
    <row r="39" spans="1:24" ht="14.4">
      <c r="B39" s="51"/>
      <c r="C39" t="s">
        <v>1435</v>
      </c>
      <c r="D39" t="s">
        <v>1654</v>
      </c>
      <c r="E39" s="46">
        <v>2021</v>
      </c>
      <c r="W39" t="s">
        <v>1629</v>
      </c>
    </row>
    <row r="40" spans="1:24" ht="14.4">
      <c r="B40" s="51"/>
      <c r="C40" t="s">
        <v>1438</v>
      </c>
      <c r="D40" t="s">
        <v>1630</v>
      </c>
      <c r="E40" s="46">
        <v>2021</v>
      </c>
    </row>
    <row r="41" spans="1:24" ht="14.4">
      <c r="B41" s="51"/>
      <c r="C41" t="s">
        <v>1689</v>
      </c>
      <c r="D41" t="s">
        <v>1666</v>
      </c>
      <c r="E41" s="46">
        <v>2021</v>
      </c>
      <c r="W41" t="s">
        <v>1629</v>
      </c>
    </row>
    <row r="42" spans="1:24" ht="14.4">
      <c r="A42" s="46" t="s">
        <v>1690</v>
      </c>
      <c r="B42" s="51"/>
      <c r="C42" t="s">
        <v>1691</v>
      </c>
      <c r="D42" t="s">
        <v>1685</v>
      </c>
      <c r="E42" s="46">
        <v>2024</v>
      </c>
    </row>
    <row r="43" spans="1:24" ht="14.4">
      <c r="B43" s="51"/>
      <c r="C43" t="s">
        <v>1692</v>
      </c>
      <c r="D43" t="s">
        <v>1693</v>
      </c>
      <c r="E43" s="46">
        <v>2022</v>
      </c>
      <c r="F43">
        <v>0.04</v>
      </c>
      <c r="G43" t="s">
        <v>60</v>
      </c>
      <c r="J43" t="s">
        <v>37</v>
      </c>
      <c r="K43" t="s">
        <v>62</v>
      </c>
      <c r="L43" t="s">
        <v>313</v>
      </c>
      <c r="M43" t="s">
        <v>30</v>
      </c>
      <c r="N43" t="s">
        <v>135</v>
      </c>
      <c r="O43">
        <v>51</v>
      </c>
      <c r="P43">
        <f t="shared" ref="P43:P48" si="0">(R43-Q43)</f>
        <v>38</v>
      </c>
      <c r="Q43">
        <v>1981</v>
      </c>
      <c r="R43">
        <v>2019</v>
      </c>
      <c r="S43" t="s">
        <v>140</v>
      </c>
      <c r="U43" t="s">
        <v>321</v>
      </c>
      <c r="V43" t="s">
        <v>322</v>
      </c>
      <c r="X43" s="2" t="s">
        <v>323</v>
      </c>
    </row>
    <row r="44" spans="1:24" ht="14.4">
      <c r="B44" s="51"/>
      <c r="C44" t="s">
        <v>1692</v>
      </c>
      <c r="D44" t="s">
        <v>1693</v>
      </c>
      <c r="E44" s="46">
        <v>2022</v>
      </c>
      <c r="F44">
        <v>4.5999999999999999E-2</v>
      </c>
      <c r="G44" t="s">
        <v>60</v>
      </c>
      <c r="J44" t="s">
        <v>37</v>
      </c>
      <c r="K44" t="s">
        <v>62</v>
      </c>
      <c r="L44" t="s">
        <v>313</v>
      </c>
      <c r="M44" t="s">
        <v>30</v>
      </c>
      <c r="N44" t="s">
        <v>31</v>
      </c>
      <c r="O44">
        <v>51</v>
      </c>
      <c r="P44">
        <f t="shared" si="0"/>
        <v>38</v>
      </c>
      <c r="Q44">
        <v>1981</v>
      </c>
      <c r="R44">
        <v>2019</v>
      </c>
      <c r="S44" t="s">
        <v>140</v>
      </c>
      <c r="U44" t="s">
        <v>321</v>
      </c>
      <c r="V44" t="s">
        <v>322</v>
      </c>
      <c r="X44" s="2" t="s">
        <v>323</v>
      </c>
    </row>
    <row r="45" spans="1:24" ht="14.4">
      <c r="B45" s="51"/>
      <c r="C45" t="s">
        <v>1694</v>
      </c>
      <c r="D45" t="s">
        <v>1695</v>
      </c>
      <c r="E45" s="46">
        <v>2018</v>
      </c>
      <c r="F45">
        <v>3.6999999999999998E-2</v>
      </c>
      <c r="G45" t="s">
        <v>36</v>
      </c>
      <c r="J45" t="s">
        <v>804</v>
      </c>
      <c r="K45" t="s">
        <v>828</v>
      </c>
      <c r="L45" t="s">
        <v>84</v>
      </c>
      <c r="N45" t="s">
        <v>40</v>
      </c>
      <c r="O45">
        <v>10</v>
      </c>
      <c r="P45">
        <f t="shared" si="0"/>
        <v>34</v>
      </c>
      <c r="Q45">
        <v>1971</v>
      </c>
      <c r="R45">
        <v>2005</v>
      </c>
      <c r="S45" t="s">
        <v>140</v>
      </c>
      <c r="U45" t="s">
        <v>563</v>
      </c>
      <c r="V45" t="s">
        <v>327</v>
      </c>
      <c r="X45" s="2" t="s">
        <v>328</v>
      </c>
    </row>
    <row r="46" spans="1:24" ht="14.4">
      <c r="B46" s="51"/>
      <c r="C46" t="s">
        <v>1696</v>
      </c>
      <c r="D46" t="s">
        <v>1685</v>
      </c>
      <c r="E46" s="46">
        <v>2025</v>
      </c>
      <c r="F46">
        <v>3.5000000000000003E-2</v>
      </c>
      <c r="G46" t="s">
        <v>36</v>
      </c>
      <c r="J46" t="s">
        <v>804</v>
      </c>
      <c r="K46" t="s">
        <v>842</v>
      </c>
      <c r="L46" t="s">
        <v>313</v>
      </c>
      <c r="M46" t="s">
        <v>30</v>
      </c>
      <c r="N46" t="s">
        <v>40</v>
      </c>
      <c r="O46">
        <v>6</v>
      </c>
      <c r="P46">
        <f t="shared" si="0"/>
        <v>29</v>
      </c>
      <c r="Q46">
        <v>1994</v>
      </c>
      <c r="R46">
        <v>2023</v>
      </c>
      <c r="S46" t="s">
        <v>140</v>
      </c>
      <c r="U46" t="s">
        <v>1697</v>
      </c>
      <c r="V46" t="s">
        <v>844</v>
      </c>
      <c r="X46" s="2" t="s">
        <v>415</v>
      </c>
    </row>
    <row r="47" spans="1:24" ht="14.4">
      <c r="B47" s="51"/>
      <c r="C47" t="s">
        <v>1696</v>
      </c>
      <c r="D47" t="s">
        <v>1685</v>
      </c>
      <c r="E47" s="46">
        <v>2025</v>
      </c>
      <c r="F47">
        <v>0.05</v>
      </c>
      <c r="G47" t="s">
        <v>36</v>
      </c>
      <c r="J47" t="s">
        <v>804</v>
      </c>
      <c r="K47" t="s">
        <v>842</v>
      </c>
      <c r="L47" t="s">
        <v>313</v>
      </c>
      <c r="M47" t="s">
        <v>30</v>
      </c>
      <c r="N47" t="s">
        <v>31</v>
      </c>
      <c r="O47">
        <v>6</v>
      </c>
      <c r="P47">
        <f t="shared" si="0"/>
        <v>29</v>
      </c>
      <c r="Q47">
        <v>1994</v>
      </c>
      <c r="R47">
        <v>2023</v>
      </c>
      <c r="S47" t="s">
        <v>140</v>
      </c>
      <c r="U47" t="s">
        <v>1697</v>
      </c>
      <c r="V47" t="s">
        <v>844</v>
      </c>
      <c r="X47" s="2" t="s">
        <v>415</v>
      </c>
    </row>
    <row r="48" spans="1:24" ht="14.4">
      <c r="B48" s="51"/>
      <c r="C48" t="s">
        <v>1698</v>
      </c>
      <c r="D48" t="s">
        <v>1699</v>
      </c>
      <c r="E48" s="46">
        <v>2023</v>
      </c>
      <c r="F48">
        <v>4.1000000000000002E-2</v>
      </c>
      <c r="G48" t="s">
        <v>416</v>
      </c>
      <c r="H48" s="5" t="s">
        <v>1700</v>
      </c>
      <c r="I48" s="5" t="s">
        <v>1701</v>
      </c>
      <c r="J48" t="s">
        <v>804</v>
      </c>
      <c r="K48" t="s">
        <v>846</v>
      </c>
      <c r="L48" t="s">
        <v>313</v>
      </c>
      <c r="M48" t="s">
        <v>30</v>
      </c>
      <c r="N48" t="s">
        <v>31</v>
      </c>
      <c r="O48">
        <v>1</v>
      </c>
      <c r="P48">
        <f t="shared" si="0"/>
        <v>37</v>
      </c>
      <c r="Q48">
        <v>1984</v>
      </c>
      <c r="R48">
        <v>2021</v>
      </c>
      <c r="S48" t="s">
        <v>140</v>
      </c>
      <c r="U48" t="s">
        <v>419</v>
      </c>
      <c r="V48" t="s">
        <v>420</v>
      </c>
      <c r="W48" t="s">
        <v>421</v>
      </c>
      <c r="X48" s="2" t="s">
        <v>422</v>
      </c>
    </row>
    <row r="49" spans="2:24" ht="14.4">
      <c r="B49" s="51"/>
      <c r="C49" s="9" t="s">
        <v>1702</v>
      </c>
      <c r="D49" t="s">
        <v>1648</v>
      </c>
      <c r="E49" s="46">
        <v>2018</v>
      </c>
    </row>
    <row r="50" spans="2:24" ht="14.4">
      <c r="B50" s="51"/>
      <c r="C50" t="s">
        <v>1703</v>
      </c>
      <c r="D50" t="s">
        <v>1704</v>
      </c>
      <c r="E50" s="46">
        <v>2021</v>
      </c>
      <c r="F50">
        <v>0.03</v>
      </c>
      <c r="G50" t="s">
        <v>860</v>
      </c>
      <c r="H50" s="60" t="s">
        <v>1705</v>
      </c>
      <c r="I50" s="60" t="s">
        <v>1706</v>
      </c>
      <c r="J50" t="s">
        <v>47</v>
      </c>
      <c r="K50" t="s">
        <v>62</v>
      </c>
      <c r="L50" t="s">
        <v>537</v>
      </c>
      <c r="M50" t="s">
        <v>30</v>
      </c>
      <c r="N50" t="s">
        <v>263</v>
      </c>
      <c r="O50">
        <v>1</v>
      </c>
      <c r="P50">
        <v>21</v>
      </c>
      <c r="Q50">
        <v>2000</v>
      </c>
      <c r="R50">
        <v>2020</v>
      </c>
      <c r="S50" t="s">
        <v>140</v>
      </c>
      <c r="T50" s="14" t="s">
        <v>538</v>
      </c>
      <c r="U50" s="9" t="s">
        <v>539</v>
      </c>
      <c r="V50" t="s">
        <v>540</v>
      </c>
      <c r="W50" t="s">
        <v>541</v>
      </c>
      <c r="X50" s="2" t="s">
        <v>542</v>
      </c>
    </row>
    <row r="51" spans="2:24" ht="14.4">
      <c r="B51" s="51"/>
      <c r="C51" t="s">
        <v>1703</v>
      </c>
      <c r="D51" t="s">
        <v>1704</v>
      </c>
      <c r="E51" s="46">
        <v>2021</v>
      </c>
      <c r="F51">
        <v>3.4000000000000002E-2</v>
      </c>
      <c r="G51" t="s">
        <v>860</v>
      </c>
      <c r="H51" s="60" t="s">
        <v>1705</v>
      </c>
      <c r="I51" s="60" t="s">
        <v>1706</v>
      </c>
      <c r="J51" t="s">
        <v>47</v>
      </c>
      <c r="K51" t="s">
        <v>62</v>
      </c>
      <c r="L51" t="s">
        <v>537</v>
      </c>
      <c r="M51" t="s">
        <v>30</v>
      </c>
      <c r="N51" t="s">
        <v>265</v>
      </c>
      <c r="O51">
        <v>1</v>
      </c>
      <c r="P51">
        <v>21</v>
      </c>
      <c r="Q51">
        <v>2000</v>
      </c>
      <c r="R51">
        <v>2020</v>
      </c>
      <c r="S51" t="s">
        <v>140</v>
      </c>
      <c r="T51" s="4" t="s">
        <v>543</v>
      </c>
      <c r="U51" s="9" t="s">
        <v>539</v>
      </c>
      <c r="V51" t="s">
        <v>540</v>
      </c>
      <c r="W51" t="s">
        <v>541</v>
      </c>
      <c r="X51" s="2" t="s">
        <v>542</v>
      </c>
    </row>
    <row r="52" spans="2:24" ht="14.4">
      <c r="B52" s="51"/>
      <c r="C52" t="s">
        <v>1703</v>
      </c>
      <c r="D52" t="s">
        <v>1704</v>
      </c>
      <c r="E52" s="46">
        <v>2021</v>
      </c>
      <c r="F52">
        <v>0.04</v>
      </c>
      <c r="G52" t="s">
        <v>860</v>
      </c>
      <c r="H52" s="60" t="s">
        <v>1705</v>
      </c>
      <c r="I52" s="60" t="s">
        <v>1706</v>
      </c>
      <c r="J52" t="s">
        <v>47</v>
      </c>
      <c r="K52" t="s">
        <v>62</v>
      </c>
      <c r="L52" t="s">
        <v>537</v>
      </c>
      <c r="M52" t="s">
        <v>30</v>
      </c>
      <c r="N52" t="s">
        <v>263</v>
      </c>
      <c r="O52">
        <v>1</v>
      </c>
      <c r="P52">
        <v>21</v>
      </c>
      <c r="Q52">
        <v>2000</v>
      </c>
      <c r="R52">
        <v>2020</v>
      </c>
      <c r="S52" t="s">
        <v>140</v>
      </c>
      <c r="T52" s="14" t="s">
        <v>538</v>
      </c>
      <c r="U52" s="9" t="s">
        <v>539</v>
      </c>
      <c r="V52" t="s">
        <v>540</v>
      </c>
      <c r="W52" t="s">
        <v>544</v>
      </c>
      <c r="X52" s="2" t="s">
        <v>542</v>
      </c>
    </row>
    <row r="53" spans="2:24" ht="14.4">
      <c r="B53" s="51"/>
      <c r="C53" t="s">
        <v>1703</v>
      </c>
      <c r="D53" t="s">
        <v>1704</v>
      </c>
      <c r="E53" s="46">
        <v>2021</v>
      </c>
      <c r="F53">
        <v>0.03</v>
      </c>
      <c r="G53" t="s">
        <v>860</v>
      </c>
      <c r="H53" s="60" t="s">
        <v>1705</v>
      </c>
      <c r="I53" s="60" t="s">
        <v>1706</v>
      </c>
      <c r="J53" t="s">
        <v>47</v>
      </c>
      <c r="K53" t="s">
        <v>62</v>
      </c>
      <c r="L53" t="s">
        <v>537</v>
      </c>
      <c r="M53" t="s">
        <v>30</v>
      </c>
      <c r="N53" t="s">
        <v>265</v>
      </c>
      <c r="O53">
        <v>1</v>
      </c>
      <c r="P53">
        <v>21</v>
      </c>
      <c r="Q53">
        <v>2000</v>
      </c>
      <c r="R53">
        <v>2020</v>
      </c>
      <c r="S53" t="s">
        <v>140</v>
      </c>
      <c r="T53" s="4" t="s">
        <v>543</v>
      </c>
      <c r="U53" s="9" t="s">
        <v>539</v>
      </c>
      <c r="V53" t="s">
        <v>540</v>
      </c>
      <c r="W53" t="s">
        <v>544</v>
      </c>
      <c r="X53" s="2" t="s">
        <v>542</v>
      </c>
    </row>
    <row r="54" spans="2:24" ht="14.4">
      <c r="B54" s="51"/>
      <c r="C54" t="s">
        <v>1703</v>
      </c>
      <c r="D54" t="s">
        <v>1704</v>
      </c>
      <c r="E54" s="46">
        <v>2021</v>
      </c>
      <c r="F54">
        <v>3.1E-2</v>
      </c>
      <c r="G54" t="s">
        <v>860</v>
      </c>
      <c r="H54" s="60" t="s">
        <v>1705</v>
      </c>
      <c r="I54" s="60" t="s">
        <v>1706</v>
      </c>
      <c r="J54" t="s">
        <v>47</v>
      </c>
      <c r="K54" t="s">
        <v>62</v>
      </c>
      <c r="L54" t="s">
        <v>537</v>
      </c>
      <c r="M54" t="s">
        <v>30</v>
      </c>
      <c r="N54" t="s">
        <v>73</v>
      </c>
      <c r="O54">
        <v>1</v>
      </c>
      <c r="P54">
        <v>21</v>
      </c>
      <c r="Q54">
        <v>2000</v>
      </c>
      <c r="R54">
        <v>2020</v>
      </c>
      <c r="S54" t="s">
        <v>140</v>
      </c>
      <c r="T54" s="14" t="s">
        <v>538</v>
      </c>
      <c r="U54" s="9" t="s">
        <v>539</v>
      </c>
      <c r="V54" t="s">
        <v>540</v>
      </c>
      <c r="W54" t="s">
        <v>541</v>
      </c>
      <c r="X54" s="2" t="s">
        <v>542</v>
      </c>
    </row>
    <row r="55" spans="2:24" ht="14.4">
      <c r="B55" s="51"/>
      <c r="C55" t="s">
        <v>1703</v>
      </c>
      <c r="D55" t="s">
        <v>1704</v>
      </c>
      <c r="E55" s="46">
        <v>2021</v>
      </c>
      <c r="F55">
        <v>3.6999999999999998E-2</v>
      </c>
      <c r="G55" t="s">
        <v>860</v>
      </c>
      <c r="H55" s="60" t="s">
        <v>1705</v>
      </c>
      <c r="I55" s="60" t="s">
        <v>1706</v>
      </c>
      <c r="J55" t="s">
        <v>47</v>
      </c>
      <c r="K55" t="s">
        <v>62</v>
      </c>
      <c r="L55" t="s">
        <v>537</v>
      </c>
      <c r="M55" t="s">
        <v>30</v>
      </c>
      <c r="N55" t="s">
        <v>73</v>
      </c>
      <c r="O55">
        <v>1</v>
      </c>
      <c r="P55">
        <v>21</v>
      </c>
      <c r="Q55">
        <v>2000</v>
      </c>
      <c r="R55">
        <v>2020</v>
      </c>
      <c r="S55" t="s">
        <v>140</v>
      </c>
      <c r="T55" s="4" t="s">
        <v>543</v>
      </c>
      <c r="U55" s="9" t="s">
        <v>539</v>
      </c>
      <c r="V55" t="s">
        <v>540</v>
      </c>
      <c r="W55" t="s">
        <v>544</v>
      </c>
      <c r="X55" s="2" t="s">
        <v>542</v>
      </c>
    </row>
    <row r="56" spans="2:24" ht="14.4">
      <c r="B56" s="51"/>
      <c r="C56" t="s">
        <v>1707</v>
      </c>
      <c r="D56" t="s">
        <v>1708</v>
      </c>
      <c r="E56" s="46">
        <v>2023</v>
      </c>
      <c r="F56" s="59">
        <f>((0.087+0.069)/2)</f>
        <v>7.8E-2</v>
      </c>
      <c r="G56" t="s">
        <v>545</v>
      </c>
      <c r="H56" s="5" t="s">
        <v>1709</v>
      </c>
      <c r="I56" s="5" t="s">
        <v>1710</v>
      </c>
      <c r="J56" t="s">
        <v>47</v>
      </c>
      <c r="K56" t="s">
        <v>28</v>
      </c>
      <c r="M56" s="107" t="s">
        <v>548</v>
      </c>
      <c r="N56" t="s">
        <v>31</v>
      </c>
      <c r="O56">
        <v>1</v>
      </c>
      <c r="P56">
        <v>35</v>
      </c>
      <c r="Q56">
        <v>1985</v>
      </c>
      <c r="R56">
        <v>2020</v>
      </c>
      <c r="S56" t="s">
        <v>140</v>
      </c>
      <c r="T56" s="4" t="s">
        <v>550</v>
      </c>
      <c r="U56" t="s">
        <v>551</v>
      </c>
      <c r="V56" t="s">
        <v>552</v>
      </c>
      <c r="W56" t="s">
        <v>553</v>
      </c>
      <c r="X56" s="2" t="s">
        <v>554</v>
      </c>
    </row>
    <row r="57" spans="2:24" ht="14.4">
      <c r="B57" s="51"/>
      <c r="C57" t="s">
        <v>1711</v>
      </c>
      <c r="D57" t="s">
        <v>1712</v>
      </c>
      <c r="E57" s="46">
        <v>2023</v>
      </c>
      <c r="F57">
        <f>(((0.3+0.06+0.11)/2)/10)</f>
        <v>2.35E-2</v>
      </c>
      <c r="G57" t="s">
        <v>36</v>
      </c>
      <c r="H57">
        <v>54.017197511676201</v>
      </c>
      <c r="I57" s="9">
        <v>18.533078379552101</v>
      </c>
      <c r="J57" t="s">
        <v>37</v>
      </c>
      <c r="K57" t="s">
        <v>103</v>
      </c>
      <c r="L57" t="s">
        <v>313</v>
      </c>
      <c r="M57" t="s">
        <v>137</v>
      </c>
      <c r="N57" t="s">
        <v>73</v>
      </c>
      <c r="O57">
        <v>10</v>
      </c>
      <c r="P57">
        <f t="shared" ref="P57:P64" si="1">(R57-Q57)</f>
        <v>49</v>
      </c>
      <c r="Q57">
        <v>1972</v>
      </c>
      <c r="R57">
        <v>2021</v>
      </c>
      <c r="S57" t="s">
        <v>140</v>
      </c>
      <c r="T57" s="14" t="s">
        <v>862</v>
      </c>
      <c r="U57" t="s">
        <v>557</v>
      </c>
      <c r="V57" t="s">
        <v>844</v>
      </c>
      <c r="X57" s="2" t="s">
        <v>560</v>
      </c>
    </row>
    <row r="58" spans="2:24" ht="14.4">
      <c r="B58" s="51"/>
      <c r="C58" t="s">
        <v>1711</v>
      </c>
      <c r="D58" t="s">
        <v>1712</v>
      </c>
      <c r="E58" s="46">
        <v>2023</v>
      </c>
      <c r="F58">
        <f>(((0.29+0.25+0.23)/2)/10)</f>
        <v>3.85E-2</v>
      </c>
      <c r="G58" t="s">
        <v>36</v>
      </c>
      <c r="H58">
        <v>54.017197511676201</v>
      </c>
      <c r="I58" s="9">
        <v>18.533078379552101</v>
      </c>
      <c r="J58" t="s">
        <v>37</v>
      </c>
      <c r="K58" t="s">
        <v>103</v>
      </c>
      <c r="L58" t="s">
        <v>313</v>
      </c>
      <c r="M58" t="s">
        <v>134</v>
      </c>
      <c r="N58" t="s">
        <v>73</v>
      </c>
      <c r="O58">
        <v>10</v>
      </c>
      <c r="P58">
        <f t="shared" si="1"/>
        <v>49</v>
      </c>
      <c r="Q58">
        <v>1972</v>
      </c>
      <c r="R58">
        <v>2021</v>
      </c>
      <c r="S58" t="s">
        <v>140</v>
      </c>
      <c r="T58" s="14" t="s">
        <v>862</v>
      </c>
      <c r="U58" t="s">
        <v>557</v>
      </c>
      <c r="V58" t="s">
        <v>844</v>
      </c>
      <c r="X58" s="2" t="s">
        <v>560</v>
      </c>
    </row>
    <row r="59" spans="2:24" ht="14.4">
      <c r="B59" s="51"/>
      <c r="C59" t="s">
        <v>1711</v>
      </c>
      <c r="D59" t="s">
        <v>1712</v>
      </c>
      <c r="E59" s="46">
        <v>2023</v>
      </c>
      <c r="F59">
        <f>(((0.22+0.45+0.77)/2)/10)</f>
        <v>7.1999999999999995E-2</v>
      </c>
      <c r="G59" t="s">
        <v>36</v>
      </c>
      <c r="H59">
        <v>54.017197511676201</v>
      </c>
      <c r="I59" s="9">
        <v>18.533078379552101</v>
      </c>
      <c r="J59" t="s">
        <v>37</v>
      </c>
      <c r="K59" t="s">
        <v>103</v>
      </c>
      <c r="L59" t="s">
        <v>313</v>
      </c>
      <c r="M59" t="s">
        <v>137</v>
      </c>
      <c r="N59" t="s">
        <v>81</v>
      </c>
      <c r="O59">
        <v>10</v>
      </c>
      <c r="P59">
        <f t="shared" si="1"/>
        <v>49</v>
      </c>
      <c r="Q59">
        <v>1972</v>
      </c>
      <c r="R59">
        <v>2021</v>
      </c>
      <c r="S59" t="s">
        <v>140</v>
      </c>
      <c r="T59" s="14" t="s">
        <v>862</v>
      </c>
      <c r="U59" t="s">
        <v>557</v>
      </c>
      <c r="V59" t="s">
        <v>844</v>
      </c>
      <c r="X59" s="2" t="s">
        <v>560</v>
      </c>
    </row>
    <row r="60" spans="2:24" ht="14.4">
      <c r="B60" s="51"/>
      <c r="C60" t="s">
        <v>1711</v>
      </c>
      <c r="D60" t="s">
        <v>1712</v>
      </c>
      <c r="E60" s="46">
        <v>2023</v>
      </c>
      <c r="F60">
        <f>(((0.36+0.82+0.37)/2)/10)</f>
        <v>7.7499999999999986E-2</v>
      </c>
      <c r="G60" t="s">
        <v>36</v>
      </c>
      <c r="H60">
        <v>54.017197511676201</v>
      </c>
      <c r="I60" s="9">
        <v>18.533078379552101</v>
      </c>
      <c r="J60" t="s">
        <v>37</v>
      </c>
      <c r="K60" t="s">
        <v>103</v>
      </c>
      <c r="L60" t="s">
        <v>313</v>
      </c>
      <c r="M60" t="s">
        <v>134</v>
      </c>
      <c r="N60" t="s">
        <v>81</v>
      </c>
      <c r="O60">
        <v>10</v>
      </c>
      <c r="P60">
        <f t="shared" si="1"/>
        <v>49</v>
      </c>
      <c r="Q60">
        <v>1972</v>
      </c>
      <c r="R60">
        <v>2021</v>
      </c>
      <c r="S60" t="s">
        <v>140</v>
      </c>
      <c r="T60" s="14" t="s">
        <v>862</v>
      </c>
      <c r="U60" t="s">
        <v>557</v>
      </c>
      <c r="V60" t="s">
        <v>844</v>
      </c>
      <c r="X60" s="2" t="s">
        <v>560</v>
      </c>
    </row>
    <row r="61" spans="2:24" ht="14.4">
      <c r="B61" s="51"/>
      <c r="C61" t="s">
        <v>1711</v>
      </c>
      <c r="D61" t="s">
        <v>1712</v>
      </c>
      <c r="E61" s="46">
        <v>2023</v>
      </c>
      <c r="F61">
        <f>(((0.63+0.58+0.59)/2)/10)</f>
        <v>0.09</v>
      </c>
      <c r="G61" t="s">
        <v>36</v>
      </c>
      <c r="H61">
        <v>54.017197511676201</v>
      </c>
      <c r="I61" s="9">
        <v>18.533078379552101</v>
      </c>
      <c r="J61" t="s">
        <v>37</v>
      </c>
      <c r="K61" t="s">
        <v>103</v>
      </c>
      <c r="L61" t="s">
        <v>313</v>
      </c>
      <c r="M61" t="s">
        <v>137</v>
      </c>
      <c r="N61" t="s">
        <v>31</v>
      </c>
      <c r="O61">
        <v>10</v>
      </c>
      <c r="P61">
        <f t="shared" si="1"/>
        <v>49</v>
      </c>
      <c r="Q61">
        <v>1972</v>
      </c>
      <c r="R61">
        <v>2021</v>
      </c>
      <c r="S61" t="s">
        <v>140</v>
      </c>
      <c r="T61" s="14" t="s">
        <v>862</v>
      </c>
      <c r="U61" t="s">
        <v>557</v>
      </c>
      <c r="V61" t="s">
        <v>844</v>
      </c>
      <c r="X61" s="2" t="s">
        <v>560</v>
      </c>
    </row>
    <row r="62" spans="2:24" ht="14.4">
      <c r="B62" s="51"/>
      <c r="C62" t="s">
        <v>1711</v>
      </c>
      <c r="D62" t="s">
        <v>1712</v>
      </c>
      <c r="E62" s="46">
        <v>2023</v>
      </c>
      <c r="F62">
        <f>(((0.44+0.62+0.57)/2)/10)</f>
        <v>8.1499999999999989E-2</v>
      </c>
      <c r="G62" t="s">
        <v>36</v>
      </c>
      <c r="H62">
        <v>54.017197511676201</v>
      </c>
      <c r="I62" s="9">
        <v>18.533078379552101</v>
      </c>
      <c r="J62" t="s">
        <v>37</v>
      </c>
      <c r="K62" t="s">
        <v>103</v>
      </c>
      <c r="L62" t="s">
        <v>313</v>
      </c>
      <c r="M62" t="s">
        <v>134</v>
      </c>
      <c r="N62" t="s">
        <v>31</v>
      </c>
      <c r="O62">
        <v>10</v>
      </c>
      <c r="P62">
        <f t="shared" si="1"/>
        <v>49</v>
      </c>
      <c r="Q62">
        <v>1972</v>
      </c>
      <c r="R62">
        <v>2021</v>
      </c>
      <c r="S62" t="s">
        <v>140</v>
      </c>
      <c r="T62" s="14" t="s">
        <v>862</v>
      </c>
      <c r="U62" t="s">
        <v>557</v>
      </c>
      <c r="V62" t="s">
        <v>844</v>
      </c>
      <c r="X62" s="2" t="s">
        <v>560</v>
      </c>
    </row>
    <row r="63" spans="2:24" ht="14.4">
      <c r="B63" s="51"/>
      <c r="C63" t="s">
        <v>1711</v>
      </c>
      <c r="D63" t="s">
        <v>1712</v>
      </c>
      <c r="E63" s="46">
        <v>2023</v>
      </c>
      <c r="F63">
        <f>(((0.41+0.43+0.47)/2)/10)</f>
        <v>6.5500000000000003E-2</v>
      </c>
      <c r="G63" t="s">
        <v>36</v>
      </c>
      <c r="H63">
        <v>54.017197511676201</v>
      </c>
      <c r="I63" s="9">
        <v>18.533078379552101</v>
      </c>
      <c r="J63" t="s">
        <v>37</v>
      </c>
      <c r="K63" t="s">
        <v>103</v>
      </c>
      <c r="L63" t="s">
        <v>313</v>
      </c>
      <c r="M63" t="s">
        <v>137</v>
      </c>
      <c r="N63" t="s">
        <v>80</v>
      </c>
      <c r="O63">
        <v>10</v>
      </c>
      <c r="P63">
        <f t="shared" si="1"/>
        <v>49</v>
      </c>
      <c r="Q63">
        <v>1972</v>
      </c>
      <c r="R63">
        <v>2021</v>
      </c>
      <c r="S63" t="s">
        <v>140</v>
      </c>
      <c r="T63" s="14" t="s">
        <v>862</v>
      </c>
      <c r="U63" t="s">
        <v>557</v>
      </c>
      <c r="V63" t="s">
        <v>844</v>
      </c>
      <c r="X63" s="2" t="s">
        <v>560</v>
      </c>
    </row>
    <row r="64" spans="2:24" ht="14.4">
      <c r="B64" s="51"/>
      <c r="C64" t="s">
        <v>1711</v>
      </c>
      <c r="D64" t="s">
        <v>1712</v>
      </c>
      <c r="E64" s="46">
        <v>2023</v>
      </c>
      <c r="F64">
        <f>(((0.43+0.34+0.41)/2)/10)</f>
        <v>5.8999999999999997E-2</v>
      </c>
      <c r="G64" t="s">
        <v>36</v>
      </c>
      <c r="H64">
        <v>54.017197511676201</v>
      </c>
      <c r="I64" s="9">
        <v>18.533078379552101</v>
      </c>
      <c r="J64" t="s">
        <v>37</v>
      </c>
      <c r="K64" t="s">
        <v>103</v>
      </c>
      <c r="L64" t="s">
        <v>313</v>
      </c>
      <c r="M64" t="s">
        <v>134</v>
      </c>
      <c r="N64" t="s">
        <v>80</v>
      </c>
      <c r="O64">
        <v>10</v>
      </c>
      <c r="P64">
        <f t="shared" si="1"/>
        <v>49</v>
      </c>
      <c r="Q64">
        <v>1972</v>
      </c>
      <c r="R64">
        <v>2021</v>
      </c>
      <c r="S64" t="s">
        <v>140</v>
      </c>
      <c r="T64" s="14" t="s">
        <v>862</v>
      </c>
      <c r="U64" t="s">
        <v>557</v>
      </c>
      <c r="V64" t="s">
        <v>844</v>
      </c>
      <c r="X64" s="2" t="s">
        <v>560</v>
      </c>
    </row>
    <row r="65" spans="1:28" ht="14.4">
      <c r="B65" s="51"/>
    </row>
    <row r="66" spans="1:28" ht="14.4">
      <c r="B66" s="51"/>
    </row>
    <row r="67" spans="1:28" ht="14.4">
      <c r="A67" s="50"/>
      <c r="B67" s="51"/>
      <c r="C67" s="51"/>
      <c r="D67" s="51"/>
      <c r="E67" s="50"/>
      <c r="F67" s="51"/>
      <c r="G67" s="51"/>
      <c r="H67" s="51"/>
      <c r="I67" s="51"/>
      <c r="J67" s="51"/>
      <c r="K67" s="51"/>
      <c r="L67" s="51"/>
      <c r="M67" s="51"/>
      <c r="N67" s="51"/>
      <c r="O67" s="51"/>
      <c r="P67" s="51"/>
      <c r="Q67" s="51"/>
      <c r="R67" s="51"/>
      <c r="S67" s="51"/>
      <c r="T67" s="51"/>
      <c r="U67" s="51"/>
      <c r="V67" s="51"/>
      <c r="W67" s="51"/>
      <c r="X67" s="51"/>
      <c r="Y67" s="51"/>
      <c r="Z67" s="51"/>
      <c r="AA67" s="51"/>
      <c r="AB67" s="51"/>
    </row>
    <row r="68" spans="1:28" ht="14.4">
      <c r="A68" s="53" t="s">
        <v>1623</v>
      </c>
      <c r="B68" s="51"/>
      <c r="C68" s="13" t="s">
        <v>1713</v>
      </c>
    </row>
    <row r="69" spans="1:28" s="157" customFormat="1" ht="14.4">
      <c r="A69" s="156" t="s">
        <v>1626</v>
      </c>
      <c r="B69" s="164"/>
      <c r="C69" s="162" t="s">
        <v>978</v>
      </c>
      <c r="D69" s="162" t="s">
        <v>1625</v>
      </c>
      <c r="E69" s="163" t="s">
        <v>979</v>
      </c>
    </row>
    <row r="70" spans="1:28" s="157" customFormat="1" ht="14.4">
      <c r="A70" s="158">
        <v>45791</v>
      </c>
      <c r="B70" s="164"/>
      <c r="C70" s="157" t="s">
        <v>1714</v>
      </c>
      <c r="D70" s="157" t="s">
        <v>1715</v>
      </c>
      <c r="E70" s="156">
        <v>2013</v>
      </c>
    </row>
    <row r="71" spans="1:28" s="157" customFormat="1" ht="14.4">
      <c r="A71" s="156"/>
      <c r="B71" s="164"/>
      <c r="C71" s="157" t="s">
        <v>1119</v>
      </c>
      <c r="D71" s="157" t="s">
        <v>1716</v>
      </c>
      <c r="E71" s="156">
        <v>2022</v>
      </c>
    </row>
    <row r="72" spans="1:28" s="157" customFormat="1" ht="14.4">
      <c r="A72" s="156"/>
      <c r="B72" s="164"/>
      <c r="C72" s="157" t="s">
        <v>1717</v>
      </c>
      <c r="D72" s="157" t="s">
        <v>1715</v>
      </c>
      <c r="E72" s="156">
        <v>2016</v>
      </c>
    </row>
    <row r="73" spans="1:28" s="157" customFormat="1" ht="14.4">
      <c r="A73" s="156"/>
      <c r="B73" s="164"/>
      <c r="C73" s="157" t="s">
        <v>1718</v>
      </c>
      <c r="D73" s="157" t="s">
        <v>1719</v>
      </c>
      <c r="E73" s="156">
        <v>2015</v>
      </c>
      <c r="F73" s="157" t="s">
        <v>1720</v>
      </c>
      <c r="G73" s="157" t="s">
        <v>1721</v>
      </c>
      <c r="H73" s="157" t="s">
        <v>1722</v>
      </c>
      <c r="I73" s="157" t="s">
        <v>1723</v>
      </c>
      <c r="J73" s="157" t="s">
        <v>47</v>
      </c>
      <c r="K73" s="157" t="s">
        <v>1724</v>
      </c>
      <c r="L73" s="157" t="s">
        <v>1725</v>
      </c>
      <c r="M73" s="157" t="s">
        <v>1726</v>
      </c>
      <c r="N73" s="157" t="s">
        <v>1727</v>
      </c>
      <c r="O73" s="157">
        <v>1</v>
      </c>
      <c r="P73" s="157">
        <v>3</v>
      </c>
      <c r="Q73" s="157">
        <v>2005</v>
      </c>
      <c r="R73" s="157">
        <v>2009</v>
      </c>
      <c r="S73" s="157" t="s">
        <v>140</v>
      </c>
      <c r="T73" s="161" t="s">
        <v>1728</v>
      </c>
      <c r="U73" s="157" t="s">
        <v>1729</v>
      </c>
      <c r="V73" s="157" t="s">
        <v>1730</v>
      </c>
      <c r="W73" s="157" t="s">
        <v>1731</v>
      </c>
      <c r="X73" s="160" t="s">
        <v>1732</v>
      </c>
    </row>
    <row r="74" spans="1:28" s="157" customFormat="1" ht="14.4">
      <c r="A74" s="156"/>
      <c r="B74" s="164"/>
      <c r="C74" s="157" t="s">
        <v>1733</v>
      </c>
      <c r="D74" s="157" t="s">
        <v>1734</v>
      </c>
      <c r="E74" s="156">
        <v>2023</v>
      </c>
    </row>
    <row r="75" spans="1:28" s="157" customFormat="1" ht="14.4">
      <c r="A75" s="156"/>
      <c r="B75" s="164"/>
      <c r="C75" s="157" t="s">
        <v>1735</v>
      </c>
      <c r="D75" s="157" t="s">
        <v>1736</v>
      </c>
      <c r="E75" s="156">
        <v>2025</v>
      </c>
    </row>
    <row r="76" spans="1:28" s="157" customFormat="1" ht="14.4">
      <c r="A76" s="156"/>
      <c r="B76" s="164"/>
      <c r="C76" s="157" t="s">
        <v>1737</v>
      </c>
      <c r="D76" s="157" t="s">
        <v>1738</v>
      </c>
      <c r="E76" s="156">
        <v>2025</v>
      </c>
    </row>
    <row r="77" spans="1:28" s="157" customFormat="1" ht="14.4">
      <c r="A77" s="156"/>
      <c r="B77" s="164"/>
      <c r="C77" s="157" t="s">
        <v>1739</v>
      </c>
      <c r="D77" s="157" t="s">
        <v>1740</v>
      </c>
      <c r="E77" s="156">
        <v>2021</v>
      </c>
    </row>
    <row r="78" spans="1:28" s="157" customFormat="1" ht="14.4">
      <c r="A78" s="156"/>
      <c r="B78" s="164"/>
      <c r="C78" s="157" t="s">
        <v>1741</v>
      </c>
      <c r="D78" s="157" t="s">
        <v>1742</v>
      </c>
      <c r="E78" s="156">
        <v>2020</v>
      </c>
    </row>
    <row r="79" spans="1:28" s="157" customFormat="1" ht="14.4">
      <c r="A79" s="156"/>
      <c r="B79" s="164"/>
      <c r="C79" s="157" t="s">
        <v>1743</v>
      </c>
      <c r="D79" s="157" t="s">
        <v>1740</v>
      </c>
      <c r="E79" s="156">
        <v>2023</v>
      </c>
    </row>
    <row r="80" spans="1:28" s="157" customFormat="1" ht="14.4">
      <c r="A80" s="156"/>
      <c r="B80" s="164"/>
      <c r="C80" s="157" t="s">
        <v>1744</v>
      </c>
      <c r="D80" s="157" t="s">
        <v>1745</v>
      </c>
      <c r="E80" s="156">
        <v>2020</v>
      </c>
    </row>
    <row r="81" spans="1:23" s="157" customFormat="1" ht="14.4">
      <c r="A81" s="156"/>
      <c r="B81" s="164"/>
      <c r="C81" s="157" t="s">
        <v>1746</v>
      </c>
      <c r="D81" s="157" t="s">
        <v>1719</v>
      </c>
      <c r="E81" s="156">
        <v>2013</v>
      </c>
    </row>
    <row r="82" spans="1:23" s="157" customFormat="1" ht="14.4">
      <c r="A82" s="156"/>
      <c r="B82" s="164"/>
      <c r="C82" s="157" t="s">
        <v>1747</v>
      </c>
      <c r="D82" s="157" t="s">
        <v>1748</v>
      </c>
      <c r="E82" s="156">
        <v>2019</v>
      </c>
    </row>
    <row r="83" spans="1:23" s="157" customFormat="1" ht="14.4">
      <c r="A83" s="156"/>
      <c r="B83" s="164"/>
      <c r="C83" s="157" t="s">
        <v>1749</v>
      </c>
      <c r="D83" s="157" t="s">
        <v>1750</v>
      </c>
      <c r="E83" s="156">
        <v>2020</v>
      </c>
    </row>
    <row r="84" spans="1:23" s="157" customFormat="1" ht="14.4">
      <c r="A84" s="156"/>
      <c r="B84" s="164"/>
      <c r="C84" s="157" t="s">
        <v>1751</v>
      </c>
      <c r="D84" s="157" t="s">
        <v>1752</v>
      </c>
      <c r="E84" s="156">
        <v>2022</v>
      </c>
      <c r="F84" s="157">
        <v>0.02</v>
      </c>
      <c r="G84" s="157" t="s">
        <v>257</v>
      </c>
      <c r="W84" s="157" t="s">
        <v>1753</v>
      </c>
    </row>
    <row r="85" spans="1:23" s="157" customFormat="1" ht="14.4">
      <c r="A85" s="156"/>
      <c r="B85" s="164"/>
      <c r="C85" s="157" t="s">
        <v>1754</v>
      </c>
      <c r="D85" s="157" t="s">
        <v>1755</v>
      </c>
      <c r="E85" s="156">
        <v>1999</v>
      </c>
    </row>
    <row r="86" spans="1:23" s="157" customFormat="1" ht="14.4">
      <c r="A86" s="156"/>
      <c r="B86" s="164"/>
      <c r="C86" s="157" t="s">
        <v>1756</v>
      </c>
      <c r="D86" s="157" t="s">
        <v>1757</v>
      </c>
      <c r="E86" s="156">
        <v>2023</v>
      </c>
      <c r="W86" s="157" t="s">
        <v>1758</v>
      </c>
    </row>
    <row r="87" spans="1:23" s="157" customFormat="1" ht="14.4">
      <c r="A87" s="156"/>
      <c r="B87" s="164"/>
      <c r="C87" s="157" t="s">
        <v>1759</v>
      </c>
      <c r="D87" s="157" t="s">
        <v>1760</v>
      </c>
      <c r="E87" s="156">
        <v>1997</v>
      </c>
    </row>
    <row r="88" spans="1:23" s="157" customFormat="1" ht="14.4">
      <c r="A88" s="156"/>
      <c r="B88" s="164"/>
      <c r="C88" s="157" t="s">
        <v>1761</v>
      </c>
      <c r="D88" s="157" t="s">
        <v>1762</v>
      </c>
      <c r="E88" s="156">
        <v>2023</v>
      </c>
    </row>
    <row r="89" spans="1:23" s="157" customFormat="1" ht="14.4">
      <c r="A89" s="156"/>
      <c r="B89" s="164"/>
      <c r="C89" s="157" t="s">
        <v>1763</v>
      </c>
      <c r="D89" s="157" t="s">
        <v>1764</v>
      </c>
      <c r="E89" s="156">
        <v>2004</v>
      </c>
      <c r="F89" s="157">
        <v>0.04</v>
      </c>
      <c r="W89" s="157" t="s">
        <v>1765</v>
      </c>
    </row>
    <row r="90" spans="1:23" s="157" customFormat="1" ht="14.4">
      <c r="A90" s="156"/>
      <c r="B90" s="164"/>
      <c r="C90" s="157" t="s">
        <v>1766</v>
      </c>
      <c r="D90" s="157" t="s">
        <v>1767</v>
      </c>
      <c r="E90" s="156"/>
      <c r="W90" s="157" t="s">
        <v>1768</v>
      </c>
    </row>
    <row r="91" spans="1:23" s="157" customFormat="1" ht="14.4">
      <c r="A91" s="156"/>
      <c r="B91" s="164"/>
      <c r="C91" s="157" t="s">
        <v>1769</v>
      </c>
      <c r="D91" s="157" t="s">
        <v>1770</v>
      </c>
      <c r="E91" s="156">
        <v>2016</v>
      </c>
    </row>
    <row r="92" spans="1:23" s="157" customFormat="1" ht="14.4">
      <c r="A92" s="156"/>
      <c r="B92" s="164"/>
      <c r="C92" s="157" t="s">
        <v>1771</v>
      </c>
      <c r="D92" s="157" t="s">
        <v>1772</v>
      </c>
      <c r="E92" s="156">
        <v>2021</v>
      </c>
      <c r="W92" s="157" t="s">
        <v>1768</v>
      </c>
    </row>
    <row r="93" spans="1:23" s="157" customFormat="1" ht="14.4">
      <c r="A93" s="156"/>
      <c r="B93" s="164"/>
      <c r="C93" s="157" t="s">
        <v>1773</v>
      </c>
      <c r="D93" s="157" t="s">
        <v>1774</v>
      </c>
      <c r="E93" s="156">
        <v>2016</v>
      </c>
    </row>
    <row r="94" spans="1:23" s="157" customFormat="1" ht="14.4">
      <c r="A94" s="156"/>
      <c r="B94" s="164"/>
      <c r="C94" s="157" t="s">
        <v>1775</v>
      </c>
      <c r="D94" s="157" t="s">
        <v>1770</v>
      </c>
      <c r="E94" s="156">
        <v>2018</v>
      </c>
    </row>
    <row r="95" spans="1:23" s="157" customFormat="1" ht="14.4">
      <c r="A95" s="156"/>
      <c r="B95" s="164"/>
      <c r="C95" s="157" t="s">
        <v>1776</v>
      </c>
      <c r="D95" s="157" t="s">
        <v>1777</v>
      </c>
      <c r="E95" s="156">
        <v>1996</v>
      </c>
      <c r="W95" s="157" t="s">
        <v>1778</v>
      </c>
    </row>
    <row r="96" spans="1:23" s="157" customFormat="1" ht="14.4">
      <c r="A96" s="156"/>
      <c r="B96" s="164"/>
      <c r="C96" s="157" t="s">
        <v>1779</v>
      </c>
      <c r="D96" s="157" t="s">
        <v>1780</v>
      </c>
      <c r="E96" s="156">
        <v>2017</v>
      </c>
    </row>
    <row r="97" spans="1:30" s="157" customFormat="1" ht="14.4">
      <c r="A97" s="156"/>
      <c r="B97" s="164"/>
      <c r="C97" s="157" t="s">
        <v>1781</v>
      </c>
      <c r="D97" s="157" t="s">
        <v>1782</v>
      </c>
      <c r="E97" s="156">
        <v>1994</v>
      </c>
      <c r="W97" s="157" t="s">
        <v>1783</v>
      </c>
    </row>
    <row r="98" spans="1:30" s="157" customFormat="1" ht="14.4">
      <c r="A98" s="156"/>
      <c r="B98" s="164"/>
      <c r="C98" s="157" t="s">
        <v>1784</v>
      </c>
      <c r="D98" s="157" t="s">
        <v>1785</v>
      </c>
      <c r="E98" s="156">
        <v>1965</v>
      </c>
    </row>
    <row r="99" spans="1:30" s="157" customFormat="1" ht="14.4">
      <c r="A99" s="157" t="s">
        <v>1640</v>
      </c>
      <c r="B99" s="164"/>
      <c r="C99" s="157" t="s">
        <v>1786</v>
      </c>
      <c r="E99" s="156"/>
    </row>
    <row r="100" spans="1:30" ht="14.4">
      <c r="A100" t="s">
        <v>707</v>
      </c>
      <c r="B100" s="51"/>
      <c r="C100" t="s">
        <v>1220</v>
      </c>
      <c r="D100" t="s">
        <v>1641</v>
      </c>
      <c r="E100" s="46">
        <v>2022</v>
      </c>
    </row>
    <row r="101" spans="1:30" ht="14.4">
      <c r="B101" s="51"/>
      <c r="C101" t="s">
        <v>1787</v>
      </c>
      <c r="D101" t="s">
        <v>1752</v>
      </c>
      <c r="E101" s="46">
        <v>2025</v>
      </c>
    </row>
    <row r="102" spans="1:30" ht="14.4">
      <c r="B102" s="51"/>
      <c r="C102" s="5" t="s">
        <v>1788</v>
      </c>
      <c r="D102" s="5" t="s">
        <v>1789</v>
      </c>
      <c r="E102" s="103">
        <v>2014</v>
      </c>
      <c r="W102" s="59" t="s">
        <v>1790</v>
      </c>
      <c r="X102" s="59"/>
      <c r="Y102" s="59"/>
      <c r="Z102" s="59"/>
      <c r="AA102" s="59"/>
      <c r="AB102" s="59"/>
      <c r="AC102" s="59"/>
      <c r="AD102" s="59"/>
    </row>
    <row r="103" spans="1:30" ht="14.4">
      <c r="B103" s="51"/>
      <c r="C103" t="s">
        <v>1791</v>
      </c>
      <c r="D103" t="s">
        <v>1792</v>
      </c>
      <c r="E103" s="46">
        <v>2019</v>
      </c>
    </row>
    <row r="104" spans="1:30" ht="14.4">
      <c r="B104" s="51"/>
      <c r="C104" t="s">
        <v>1793</v>
      </c>
      <c r="D104" t="s">
        <v>1671</v>
      </c>
      <c r="E104" s="46">
        <v>2023</v>
      </c>
    </row>
    <row r="105" spans="1:30" ht="14.4">
      <c r="B105" s="51"/>
      <c r="C105" t="s">
        <v>1794</v>
      </c>
      <c r="D105" t="s">
        <v>1795</v>
      </c>
      <c r="E105" s="46">
        <v>2018</v>
      </c>
    </row>
    <row r="106" spans="1:30" ht="14.4">
      <c r="B106" s="51"/>
      <c r="C106" t="s">
        <v>1796</v>
      </c>
      <c r="D106" t="s">
        <v>1656</v>
      </c>
      <c r="E106" s="46">
        <v>2025</v>
      </c>
    </row>
    <row r="107" spans="1:30" ht="14.4">
      <c r="B107" s="51"/>
      <c r="C107" t="s">
        <v>1797</v>
      </c>
      <c r="D107" t="s">
        <v>1656</v>
      </c>
      <c r="E107" s="46">
        <v>2024</v>
      </c>
    </row>
    <row r="108" spans="1:30" ht="14.4">
      <c r="B108" s="51"/>
      <c r="C108" t="s">
        <v>1226</v>
      </c>
      <c r="D108" t="s">
        <v>1668</v>
      </c>
      <c r="E108" s="46">
        <v>2024</v>
      </c>
    </row>
    <row r="109" spans="1:30" ht="14.4">
      <c r="B109" s="51"/>
      <c r="C109" t="s">
        <v>1798</v>
      </c>
      <c r="D109" t="s">
        <v>1799</v>
      </c>
      <c r="E109" s="46">
        <v>2024</v>
      </c>
    </row>
    <row r="110" spans="1:30" ht="14.4">
      <c r="B110" s="51"/>
      <c r="C110" t="s">
        <v>1800</v>
      </c>
      <c r="D110" t="s">
        <v>1760</v>
      </c>
      <c r="E110" s="46">
        <v>2024</v>
      </c>
    </row>
    <row r="111" spans="1:30" ht="14.4">
      <c r="B111" s="51"/>
      <c r="C111" t="s">
        <v>1801</v>
      </c>
      <c r="D111" t="s">
        <v>1802</v>
      </c>
      <c r="E111" s="46">
        <v>2024</v>
      </c>
    </row>
    <row r="112" spans="1:30" ht="14.4">
      <c r="B112" s="51"/>
      <c r="C112" t="s">
        <v>1803</v>
      </c>
      <c r="D112" t="s">
        <v>1804</v>
      </c>
      <c r="E112" s="46">
        <v>2024</v>
      </c>
    </row>
    <row r="113" spans="1:5" ht="14.4">
      <c r="B113" s="51"/>
      <c r="C113" t="s">
        <v>1805</v>
      </c>
      <c r="D113" t="s">
        <v>1806</v>
      </c>
      <c r="E113" s="46">
        <v>2024</v>
      </c>
    </row>
    <row r="114" spans="1:5" ht="14.4">
      <c r="B114" s="51"/>
      <c r="C114" t="s">
        <v>1807</v>
      </c>
      <c r="D114" t="s">
        <v>1808</v>
      </c>
      <c r="E114" s="46">
        <v>2024</v>
      </c>
    </row>
    <row r="115" spans="1:5" ht="14.4">
      <c r="B115" s="51"/>
    </row>
    <row r="116" spans="1:5" ht="14.4">
      <c r="B116" s="51"/>
      <c r="C116" t="s">
        <v>1483</v>
      </c>
      <c r="D116" t="s">
        <v>1668</v>
      </c>
      <c r="E116" s="46">
        <v>2023</v>
      </c>
    </row>
    <row r="117" spans="1:5" ht="14.4">
      <c r="B117" s="51"/>
      <c r="C117" t="s">
        <v>1809</v>
      </c>
      <c r="D117" t="s">
        <v>1810</v>
      </c>
      <c r="E117" s="46">
        <v>2023</v>
      </c>
    </row>
    <row r="118" spans="1:5" ht="14.4">
      <c r="B118" s="51"/>
    </row>
    <row r="119" spans="1:5" ht="14.4">
      <c r="B119" s="51"/>
      <c r="C119" t="s">
        <v>1811</v>
      </c>
      <c r="D119" t="s">
        <v>1772</v>
      </c>
      <c r="E119" s="46">
        <v>2022</v>
      </c>
    </row>
    <row r="120" spans="1:5" ht="14.4">
      <c r="B120" s="51"/>
      <c r="C120" t="s">
        <v>1812</v>
      </c>
      <c r="D120" t="s">
        <v>1813</v>
      </c>
      <c r="E120" s="46">
        <v>2022</v>
      </c>
    </row>
    <row r="121" spans="1:5" ht="14.4">
      <c r="B121" s="51"/>
      <c r="C121" t="s">
        <v>1814</v>
      </c>
      <c r="D121" t="s">
        <v>1815</v>
      </c>
      <c r="E121" s="46">
        <v>2022</v>
      </c>
    </row>
    <row r="122" spans="1:5" ht="14.4">
      <c r="B122" s="51"/>
    </row>
    <row r="123" spans="1:5" ht="14.4">
      <c r="A123" t="s">
        <v>708</v>
      </c>
      <c r="B123" s="51"/>
      <c r="C123" s="154" t="s">
        <v>1816</v>
      </c>
      <c r="D123" s="154" t="s">
        <v>1817</v>
      </c>
      <c r="E123" s="165">
        <v>2011</v>
      </c>
    </row>
    <row r="124" spans="1:5" ht="14.4">
      <c r="B124" s="51"/>
      <c r="C124" s="154" t="s">
        <v>1818</v>
      </c>
      <c r="D124" s="154" t="s">
        <v>1817</v>
      </c>
      <c r="E124" s="165">
        <v>2006</v>
      </c>
    </row>
    <row r="125" spans="1:5" ht="14.4">
      <c r="B125" s="51"/>
      <c r="C125" s="154" t="s">
        <v>1819</v>
      </c>
      <c r="D125" s="154" t="s">
        <v>1820</v>
      </c>
      <c r="E125" s="165">
        <v>2023</v>
      </c>
    </row>
    <row r="126" spans="1:5" ht="14.4">
      <c r="B126" s="51"/>
      <c r="C126" s="154" t="s">
        <v>1821</v>
      </c>
      <c r="D126" s="154" t="s">
        <v>1822</v>
      </c>
      <c r="E126" s="165">
        <v>1970</v>
      </c>
    </row>
    <row r="127" spans="1:5" ht="14.4">
      <c r="B127" s="51"/>
      <c r="C127" s="154" t="s">
        <v>1823</v>
      </c>
      <c r="D127" s="154" t="s">
        <v>1817</v>
      </c>
      <c r="E127" s="165">
        <v>2009</v>
      </c>
    </row>
    <row r="128" spans="1:5" ht="14.4">
      <c r="B128" s="51"/>
      <c r="C128" s="154" t="s">
        <v>1824</v>
      </c>
      <c r="D128" s="154" t="s">
        <v>1825</v>
      </c>
      <c r="E128" s="165">
        <v>1984</v>
      </c>
    </row>
    <row r="129" spans="1:9" ht="14.4">
      <c r="B129" s="51"/>
      <c r="C129" s="154" t="s">
        <v>1826</v>
      </c>
      <c r="D129" s="154" t="s">
        <v>1827</v>
      </c>
      <c r="E129" s="165">
        <v>1978</v>
      </c>
    </row>
    <row r="130" spans="1:9" ht="14.4">
      <c r="B130" s="51"/>
      <c r="C130" s="154" t="s">
        <v>1828</v>
      </c>
      <c r="D130" s="154" t="s">
        <v>1817</v>
      </c>
      <c r="E130" s="165">
        <v>2009</v>
      </c>
    </row>
    <row r="131" spans="1:9" ht="14.4">
      <c r="B131" s="51"/>
      <c r="C131" s="154" t="s">
        <v>1829</v>
      </c>
      <c r="D131" s="154" t="s">
        <v>1830</v>
      </c>
      <c r="E131" s="165">
        <v>2003</v>
      </c>
    </row>
    <row r="132" spans="1:9" ht="14.4">
      <c r="B132" s="51"/>
      <c r="C132" s="154" t="s">
        <v>1831</v>
      </c>
      <c r="D132" s="154" t="s">
        <v>1832</v>
      </c>
      <c r="E132" s="165">
        <v>1974</v>
      </c>
    </row>
    <row r="133" spans="1:9" ht="14.4">
      <c r="B133" s="51"/>
      <c r="C133" s="154" t="s">
        <v>1833</v>
      </c>
      <c r="D133" s="154" t="s">
        <v>1834</v>
      </c>
      <c r="E133" s="165">
        <v>2006</v>
      </c>
    </row>
    <row r="134" spans="1:9" ht="14.4">
      <c r="B134" s="51"/>
      <c r="C134" s="154" t="s">
        <v>1835</v>
      </c>
      <c r="D134" s="154" t="s">
        <v>1836</v>
      </c>
      <c r="E134" s="165">
        <v>2014</v>
      </c>
    </row>
    <row r="135" spans="1:9" ht="14.4">
      <c r="B135" s="51"/>
      <c r="C135" s="154" t="s">
        <v>1837</v>
      </c>
      <c r="D135" s="154" t="s">
        <v>1838</v>
      </c>
      <c r="E135" s="165">
        <v>1974</v>
      </c>
    </row>
    <row r="136" spans="1:9" ht="14.4">
      <c r="A136" s="46" t="s">
        <v>704</v>
      </c>
      <c r="B136" s="51"/>
      <c r="C136" t="s">
        <v>1839</v>
      </c>
      <c r="D136" t="s">
        <v>1840</v>
      </c>
      <c r="E136" s="46">
        <v>2014</v>
      </c>
      <c r="I136" t="s">
        <v>1841</v>
      </c>
    </row>
    <row r="137" spans="1:9" ht="14.4">
      <c r="B137" s="51"/>
      <c r="C137" t="s">
        <v>1842</v>
      </c>
      <c r="D137" t="s">
        <v>1843</v>
      </c>
      <c r="E137" s="46">
        <v>2016</v>
      </c>
    </row>
    <row r="138" spans="1:9" ht="14.4">
      <c r="B138" s="51"/>
      <c r="C138" t="s">
        <v>1844</v>
      </c>
      <c r="D138" t="s">
        <v>1845</v>
      </c>
      <c r="E138" s="46">
        <v>2023</v>
      </c>
    </row>
    <row r="139" spans="1:9" ht="14.4">
      <c r="B139" s="51"/>
      <c r="C139" t="s">
        <v>1846</v>
      </c>
      <c r="D139" t="s">
        <v>1648</v>
      </c>
      <c r="E139" s="46">
        <v>2016</v>
      </c>
    </row>
    <row r="140" spans="1:9" ht="14.4">
      <c r="B140" s="51"/>
      <c r="C140" t="s">
        <v>1847</v>
      </c>
      <c r="D140" t="s">
        <v>1848</v>
      </c>
      <c r="E140" s="46">
        <v>2022</v>
      </c>
    </row>
    <row r="141" spans="1:9" ht="14.4">
      <c r="B141" s="51"/>
      <c r="C141" t="s">
        <v>1849</v>
      </c>
      <c r="D141" t="s">
        <v>1850</v>
      </c>
      <c r="E141" s="46">
        <v>2016</v>
      </c>
    </row>
    <row r="142" spans="1:9" ht="14.4">
      <c r="B142" s="51"/>
      <c r="C142" t="s">
        <v>1851</v>
      </c>
      <c r="D142" t="s">
        <v>1848</v>
      </c>
      <c r="E142" s="46">
        <v>2024</v>
      </c>
      <c r="F142">
        <v>0.06</v>
      </c>
      <c r="G142" t="s">
        <v>31</v>
      </c>
      <c r="H142" s="2" t="s">
        <v>1852</v>
      </c>
      <c r="I142" t="s">
        <v>1853</v>
      </c>
    </row>
    <row r="143" spans="1:9" ht="14.4">
      <c r="B143" s="51"/>
      <c r="C143" t="s">
        <v>1851</v>
      </c>
      <c r="D143" t="s">
        <v>1848</v>
      </c>
      <c r="E143" s="46">
        <v>2024</v>
      </c>
      <c r="F143">
        <v>6.7000000000000004E-2</v>
      </c>
      <c r="G143" t="s">
        <v>80</v>
      </c>
      <c r="H143" s="2" t="s">
        <v>1852</v>
      </c>
    </row>
    <row r="144" spans="1:9" ht="14.4">
      <c r="B144" s="51"/>
      <c r="C144" t="s">
        <v>1854</v>
      </c>
      <c r="D144" t="s">
        <v>1648</v>
      </c>
      <c r="E144" s="46">
        <v>2023</v>
      </c>
    </row>
    <row r="145" spans="2:24" ht="14.4">
      <c r="B145" s="51"/>
      <c r="C145" t="s">
        <v>1855</v>
      </c>
      <c r="D145" t="s">
        <v>1856</v>
      </c>
      <c r="E145" s="46">
        <v>2021</v>
      </c>
    </row>
    <row r="146" spans="2:24" ht="14.4">
      <c r="B146" s="51"/>
      <c r="C146" t="s">
        <v>1857</v>
      </c>
      <c r="D146" t="s">
        <v>1858</v>
      </c>
      <c r="E146" s="46">
        <v>2015</v>
      </c>
    </row>
    <row r="147" spans="2:24" ht="14.4">
      <c r="B147" s="51"/>
      <c r="C147" t="s">
        <v>1859</v>
      </c>
      <c r="D147" t="s">
        <v>1860</v>
      </c>
      <c r="E147" s="46">
        <v>2022</v>
      </c>
    </row>
    <row r="148" spans="2:24" ht="14.4">
      <c r="B148" s="51"/>
      <c r="C148" t="s">
        <v>1861</v>
      </c>
      <c r="D148" t="s">
        <v>1862</v>
      </c>
      <c r="E148" s="46">
        <v>2022</v>
      </c>
      <c r="F148">
        <v>0.04</v>
      </c>
      <c r="G148" t="s">
        <v>1863</v>
      </c>
      <c r="H148" s="5">
        <v>60.691699999999997</v>
      </c>
      <c r="I148" s="5">
        <v>11.0031</v>
      </c>
      <c r="J148" t="s">
        <v>47</v>
      </c>
      <c r="K148" t="s">
        <v>324</v>
      </c>
      <c r="M148" t="s">
        <v>30</v>
      </c>
      <c r="N148" t="s">
        <v>40</v>
      </c>
      <c r="O148">
        <v>1</v>
      </c>
      <c r="P148">
        <v>40</v>
      </c>
      <c r="Q148">
        <v>1970</v>
      </c>
      <c r="R148">
        <v>2010</v>
      </c>
      <c r="S148" t="s">
        <v>140</v>
      </c>
      <c r="T148" s="14" t="s">
        <v>1864</v>
      </c>
      <c r="U148" t="s">
        <v>1865</v>
      </c>
      <c r="V148" s="2" t="s">
        <v>1861</v>
      </c>
      <c r="W148" t="s">
        <v>1866</v>
      </c>
      <c r="X148" t="s">
        <v>1867</v>
      </c>
    </row>
    <row r="149" spans="2:24" ht="14.4">
      <c r="B149" s="51"/>
    </row>
    <row r="150" spans="2:24" ht="14.4">
      <c r="B150" s="51"/>
    </row>
    <row r="151" spans="2:24" ht="14.4">
      <c r="B151" s="51"/>
    </row>
    <row r="152" spans="2:24" ht="14.4">
      <c r="B152" s="51"/>
    </row>
    <row r="153" spans="2:24" ht="14.4">
      <c r="B153" s="51"/>
    </row>
    <row r="154" spans="2:24" ht="14.4">
      <c r="B154" s="51"/>
    </row>
    <row r="155" spans="2:24" ht="14.4">
      <c r="B155" s="51"/>
    </row>
    <row r="156" spans="2:24" ht="14.4">
      <c r="B156" s="51"/>
    </row>
    <row r="157" spans="2:24" ht="14.4">
      <c r="B157" s="51"/>
    </row>
    <row r="158" spans="2:24" ht="14.4">
      <c r="B158" s="51"/>
    </row>
    <row r="159" spans="2:24" ht="14.4">
      <c r="B159" s="51"/>
    </row>
    <row r="160" spans="2:24" ht="14.4">
      <c r="B160" s="51"/>
    </row>
    <row r="161" spans="2:3" ht="14.4">
      <c r="B161" s="51"/>
    </row>
    <row r="162" spans="2:3" ht="14.4">
      <c r="B162" s="51"/>
    </row>
    <row r="163" spans="2:3" ht="14.4">
      <c r="C163" t="s">
        <v>1868</v>
      </c>
    </row>
    <row r="183" spans="1:10" ht="15" customHeight="1">
      <c r="A183" t="s">
        <v>708</v>
      </c>
      <c r="B183" s="51"/>
      <c r="C183" t="s">
        <v>1816</v>
      </c>
      <c r="D183" t="s">
        <v>1817</v>
      </c>
      <c r="E183" s="46">
        <v>2011</v>
      </c>
      <c r="G183" t="s">
        <v>708</v>
      </c>
      <c r="H183" t="s">
        <v>140</v>
      </c>
      <c r="I183" t="s">
        <v>294</v>
      </c>
      <c r="J183" s="14" t="s">
        <v>1869</v>
      </c>
    </row>
    <row r="184" spans="1:10" ht="15" customHeight="1">
      <c r="B184" s="51"/>
      <c r="C184" t="s">
        <v>1818</v>
      </c>
      <c r="D184" t="s">
        <v>1817</v>
      </c>
      <c r="E184" s="46">
        <v>2006</v>
      </c>
      <c r="G184" t="s">
        <v>708</v>
      </c>
      <c r="H184" t="s">
        <v>140</v>
      </c>
      <c r="I184" t="s">
        <v>294</v>
      </c>
      <c r="J184" s="14" t="s">
        <v>1870</v>
      </c>
    </row>
    <row r="185" spans="1:10" ht="15" customHeight="1">
      <c r="B185" s="51"/>
      <c r="C185" t="s">
        <v>1819</v>
      </c>
      <c r="D185" t="s">
        <v>1820</v>
      </c>
      <c r="E185" s="46">
        <v>2023</v>
      </c>
      <c r="G185" t="s">
        <v>708</v>
      </c>
      <c r="H185" t="s">
        <v>140</v>
      </c>
      <c r="I185" t="s">
        <v>294</v>
      </c>
      <c r="J185" s="14" t="s">
        <v>1871</v>
      </c>
    </row>
    <row r="186" spans="1:10" ht="15" customHeight="1">
      <c r="B186" s="51"/>
      <c r="C186" t="s">
        <v>1821</v>
      </c>
      <c r="D186" t="s">
        <v>1822</v>
      </c>
      <c r="E186" s="46">
        <v>1970</v>
      </c>
      <c r="G186" t="s">
        <v>708</v>
      </c>
      <c r="H186" t="s">
        <v>140</v>
      </c>
      <c r="I186" t="s">
        <v>294</v>
      </c>
      <c r="J186" s="14" t="s">
        <v>1872</v>
      </c>
    </row>
    <row r="187" spans="1:10" ht="15" customHeight="1">
      <c r="B187" s="51"/>
      <c r="C187" t="s">
        <v>1823</v>
      </c>
      <c r="D187" t="s">
        <v>1817</v>
      </c>
      <c r="E187" s="46">
        <v>2009</v>
      </c>
      <c r="G187" t="s">
        <v>708</v>
      </c>
      <c r="H187" t="s">
        <v>140</v>
      </c>
      <c r="I187" t="s">
        <v>294</v>
      </c>
      <c r="J187" s="14" t="s">
        <v>1873</v>
      </c>
    </row>
    <row r="188" spans="1:10" ht="15" customHeight="1">
      <c r="B188" s="51"/>
      <c r="C188" t="s">
        <v>1824</v>
      </c>
      <c r="D188" t="s">
        <v>1825</v>
      </c>
      <c r="E188" s="46">
        <v>1984</v>
      </c>
      <c r="G188" t="s">
        <v>708</v>
      </c>
      <c r="H188" t="s">
        <v>140</v>
      </c>
      <c r="I188" t="s">
        <v>294</v>
      </c>
      <c r="J188" s="14" t="s">
        <v>1874</v>
      </c>
    </row>
    <row r="189" spans="1:10" ht="15" customHeight="1">
      <c r="B189" s="51"/>
      <c r="C189" t="s">
        <v>1826</v>
      </c>
      <c r="D189" t="s">
        <v>1827</v>
      </c>
      <c r="E189" s="46">
        <v>1978</v>
      </c>
      <c r="G189" t="s">
        <v>708</v>
      </c>
      <c r="H189" t="s">
        <v>140</v>
      </c>
      <c r="I189" t="s">
        <v>294</v>
      </c>
      <c r="J189" s="14" t="s">
        <v>1875</v>
      </c>
    </row>
    <row r="190" spans="1:10" ht="15" customHeight="1">
      <c r="B190" s="51"/>
      <c r="C190" t="s">
        <v>1828</v>
      </c>
      <c r="D190" t="s">
        <v>1817</v>
      </c>
      <c r="E190" s="46">
        <v>2009</v>
      </c>
      <c r="G190" t="s">
        <v>708</v>
      </c>
      <c r="H190" t="s">
        <v>140</v>
      </c>
      <c r="I190" t="s">
        <v>294</v>
      </c>
      <c r="J190" s="14" t="s">
        <v>1876</v>
      </c>
    </row>
    <row r="191" spans="1:10" ht="15" customHeight="1">
      <c r="B191" s="51"/>
      <c r="C191" t="s">
        <v>1829</v>
      </c>
      <c r="D191" t="s">
        <v>1830</v>
      </c>
      <c r="E191" s="46">
        <v>2003</v>
      </c>
      <c r="G191" t="s">
        <v>708</v>
      </c>
      <c r="H191" t="s">
        <v>140</v>
      </c>
      <c r="I191" t="s">
        <v>294</v>
      </c>
      <c r="J191" s="14" t="s">
        <v>1877</v>
      </c>
    </row>
    <row r="192" spans="1:10" ht="15" customHeight="1">
      <c r="B192" s="51"/>
      <c r="C192" t="s">
        <v>1831</v>
      </c>
      <c r="D192" t="s">
        <v>1832</v>
      </c>
      <c r="E192" s="46">
        <v>1974</v>
      </c>
      <c r="G192" t="s">
        <v>708</v>
      </c>
      <c r="H192" t="s">
        <v>140</v>
      </c>
      <c r="I192" t="s">
        <v>294</v>
      </c>
      <c r="J192" s="14" t="s">
        <v>1878</v>
      </c>
    </row>
    <row r="193" spans="2:10" ht="15" customHeight="1">
      <c r="B193" s="51"/>
      <c r="C193" t="s">
        <v>1833</v>
      </c>
      <c r="D193" t="s">
        <v>1834</v>
      </c>
      <c r="E193" s="46">
        <v>2006</v>
      </c>
      <c r="G193" t="s">
        <v>708</v>
      </c>
      <c r="H193" t="s">
        <v>140</v>
      </c>
      <c r="I193" t="s">
        <v>294</v>
      </c>
      <c r="J193" s="14" t="s">
        <v>1879</v>
      </c>
    </row>
    <row r="194" spans="2:10" ht="15" customHeight="1">
      <c r="B194" s="51"/>
      <c r="C194" t="s">
        <v>1835</v>
      </c>
      <c r="D194" t="s">
        <v>1836</v>
      </c>
      <c r="E194" s="46">
        <v>2014</v>
      </c>
      <c r="G194" t="s">
        <v>708</v>
      </c>
      <c r="H194" t="s">
        <v>140</v>
      </c>
      <c r="I194" t="s">
        <v>294</v>
      </c>
      <c r="J194" s="14" t="s">
        <v>1880</v>
      </c>
    </row>
    <row r="195" spans="2:10" ht="15" customHeight="1">
      <c r="B195" s="51"/>
      <c r="C195" t="s">
        <v>1837</v>
      </c>
      <c r="D195" t="s">
        <v>1838</v>
      </c>
      <c r="E195" s="46">
        <v>1974</v>
      </c>
      <c r="G195" t="s">
        <v>708</v>
      </c>
      <c r="H195" t="s">
        <v>140</v>
      </c>
      <c r="I195" t="s">
        <v>294</v>
      </c>
      <c r="J195" s="14" t="s">
        <v>1881</v>
      </c>
    </row>
  </sheetData>
  <hyperlinks>
    <hyperlink ref="X73" r:id="rId1" xr:uid="{838F9CB5-F810-462E-8930-B4B8E359ED5D}"/>
    <hyperlink ref="X4" r:id="rId2" xr:uid="{8CA7AB80-B3B7-47E9-8F64-F4A62B1BF2AA}"/>
    <hyperlink ref="X5" r:id="rId3" display="Validation and Trend Analysis of Satellite-Derived Surface Water Temperature Observations Over Adirondack Lakes by Marzi Azarderakhsh, Carolien Mossel, Fahmeda Khanom, Aisha Malik, Abdou Bah, Jonathan Borrelli, Hamid Norouzi, Peter McIntyre, Kevin Rose :: SSRN" xr:uid="{D79015C1-04C6-4459-BB10-C15B7A43FE07}"/>
    <hyperlink ref="X12" r:id="rId4" xr:uid="{CDE2B21D-04B6-45AF-AF9E-64B97ADFEB00}"/>
    <hyperlink ref="X13" r:id="rId5" xr:uid="{2B0453A0-3C92-47AD-B0DF-9E501A971BAF}"/>
    <hyperlink ref="X14" r:id="rId6" xr:uid="{25A1DE8C-33B3-45B1-842A-1B0120263CFC}"/>
    <hyperlink ref="X18" r:id="rId7" xr:uid="{E7AF41B6-DCFF-4E41-A2AE-583487353E61}"/>
    <hyperlink ref="X23" r:id="rId8" xr:uid="{345BDB04-9636-4FB3-B908-DDEC2AC8B1BD}"/>
    <hyperlink ref="X25" r:id="rId9" xr:uid="{E9617779-1331-47D2-841C-0E645DD9444C}"/>
    <hyperlink ref="X27" r:id="rId10" xr:uid="{9DA8DBC5-9A3F-4394-B14B-793637D3FF6F}"/>
    <hyperlink ref="X29" r:id="rId11" xr:uid="{BC509F4C-2BAF-4763-B68C-0B449CB77EEC}"/>
    <hyperlink ref="X37" r:id="rId12" xr:uid="{3A3E481C-D0CD-4A23-9491-FDD60B1FC99D}"/>
    <hyperlink ref="X38" r:id="rId13" xr:uid="{6A080F48-ECB9-43D6-98CA-44AE1915893E}"/>
    <hyperlink ref="X43" r:id="rId14" xr:uid="{DB144898-C2B9-4A45-A2E2-7C4ABAB058F2}"/>
    <hyperlink ref="X44" r:id="rId15" xr:uid="{B8E9D5BB-B6EE-4F66-9167-77E394F83E45}"/>
    <hyperlink ref="X45" r:id="rId16" xr:uid="{57A9498D-4F4E-4662-8CC1-DCA78F6EFC12}"/>
    <hyperlink ref="H142" r:id="rId17" xr:uid="{4B2112F5-9562-4E0B-9ED8-08AA207CF0C1}"/>
    <hyperlink ref="H143" r:id="rId18" xr:uid="{9E2AF10E-FBC8-476F-9203-7D9B158585DA}"/>
    <hyperlink ref="X46" r:id="rId19" xr:uid="{4B500FC2-240C-4F5B-AA63-528E42F01B5C}"/>
    <hyperlink ref="X47" r:id="rId20" xr:uid="{A9374B1D-67E8-4C9B-9F6E-027048B68DE6}"/>
    <hyperlink ref="X48" r:id="rId21" xr:uid="{C0963798-16D2-4303-8C2D-BE10F5961762}"/>
    <hyperlink ref="V148" r:id="rId22" xr:uid="{3A4C608F-021D-4F9D-A0A8-69CDC01C396A}"/>
    <hyperlink ref="X57" r:id="rId23" xr:uid="{EF9C600F-A139-4B61-842C-212A69A8603B}"/>
    <hyperlink ref="X55" r:id="rId24" xr:uid="{BC0B0579-6F61-4E7C-BF1C-131D2F7F1826}"/>
    <hyperlink ref="X54" r:id="rId25" xr:uid="{E57A226F-4A03-400B-B934-79DF08ABC939}"/>
    <hyperlink ref="X53" r:id="rId26" xr:uid="{7FDC3983-02B4-41DB-8548-F18755383F66}"/>
    <hyperlink ref="X52" r:id="rId27" xr:uid="{36DE6118-E42A-4F5D-AB35-E17C2B1444F7}"/>
    <hyperlink ref="X56" r:id="rId28" xr:uid="{47F05D1D-256D-4E2B-AB0E-36622F86E514}"/>
    <hyperlink ref="X51" r:id="rId29" xr:uid="{AE47D8B5-0D6A-4BB1-8893-71F51C23816A}"/>
    <hyperlink ref="X50" r:id="rId30" xr:uid="{C06AED79-6806-4DC9-B53A-509054085818}"/>
    <hyperlink ref="X58" r:id="rId31" xr:uid="{DD0E1A5B-AE6A-4E52-AF39-56EE2918DD22}"/>
    <hyperlink ref="X59" r:id="rId32" xr:uid="{B3642AAB-41EF-4AF2-95DE-C93389122F36}"/>
    <hyperlink ref="X60" r:id="rId33" xr:uid="{61CAA12F-53BC-48C0-B0DB-ECBF9CE1CEF9}"/>
    <hyperlink ref="X61" r:id="rId34" xr:uid="{79CF82B5-FA24-4286-986B-84495E4C3351}"/>
    <hyperlink ref="X62" r:id="rId35" xr:uid="{7E520833-0C8F-4BC0-92A9-F3D93BDA44E5}"/>
    <hyperlink ref="X63" r:id="rId36" xr:uid="{9CB6E2A9-DB2E-467E-BDE0-705639E082F1}"/>
    <hyperlink ref="X64" r:id="rId37" xr:uid="{4C4DA58D-4431-4157-B3AA-F50C5632955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A9698-83BB-494F-BE1A-A78297D20CC8}">
  <dimension ref="A1:AH96"/>
  <sheetViews>
    <sheetView topLeftCell="A39" workbookViewId="0">
      <selection activeCell="G58" sqref="G58"/>
    </sheetView>
  </sheetViews>
  <sheetFormatPr defaultRowHeight="14.4"/>
  <cols>
    <col min="1" max="1" width="38.83984375" customWidth="1"/>
    <col min="2" max="2" width="0.83984375" customWidth="1"/>
    <col min="3" max="3" width="85.83984375" customWidth="1"/>
    <col min="4" max="4" width="17.26171875" customWidth="1"/>
  </cols>
  <sheetData>
    <row r="1" spans="1:31">
      <c r="A1" s="53"/>
      <c r="B1" s="52"/>
      <c r="C1" s="13" t="s">
        <v>1624</v>
      </c>
      <c r="E1" s="46"/>
    </row>
    <row r="2" spans="1:31" ht="57.6">
      <c r="A2" s="53" t="s">
        <v>1623</v>
      </c>
      <c r="B2" s="51"/>
      <c r="C2" s="47" t="s">
        <v>978</v>
      </c>
      <c r="D2" s="47" t="s">
        <v>1625</v>
      </c>
      <c r="E2" s="49" t="s">
        <v>979</v>
      </c>
      <c r="F2" s="48" t="s">
        <v>0</v>
      </c>
      <c r="G2" s="48" t="s">
        <v>1</v>
      </c>
      <c r="H2" s="48"/>
      <c r="I2" s="48"/>
      <c r="J2" s="48"/>
      <c r="K2" s="48"/>
      <c r="L2" s="48"/>
      <c r="M2" s="48"/>
      <c r="N2" s="48" t="s">
        <v>2</v>
      </c>
      <c r="O2" s="48" t="s">
        <v>3</v>
      </c>
      <c r="P2" s="48" t="s">
        <v>1263</v>
      </c>
      <c r="Q2" s="48" t="s">
        <v>5</v>
      </c>
      <c r="R2" s="48" t="s">
        <v>7</v>
      </c>
      <c r="S2" s="48" t="s">
        <v>8</v>
      </c>
      <c r="T2" s="48" t="s">
        <v>9</v>
      </c>
      <c r="U2" s="48" t="s">
        <v>11</v>
      </c>
      <c r="V2" s="48" t="s">
        <v>12</v>
      </c>
      <c r="W2" s="48" t="s">
        <v>13</v>
      </c>
      <c r="X2" s="48" t="s">
        <v>14</v>
      </c>
      <c r="Y2" s="48" t="s">
        <v>15</v>
      </c>
      <c r="Z2" s="48" t="s">
        <v>16</v>
      </c>
      <c r="AA2" s="48" t="s">
        <v>17</v>
      </c>
      <c r="AB2" s="48" t="s">
        <v>18</v>
      </c>
      <c r="AC2" s="48" t="s">
        <v>19</v>
      </c>
      <c r="AD2" s="48" t="s">
        <v>20</v>
      </c>
      <c r="AE2" s="155" t="s">
        <v>1882</v>
      </c>
    </row>
    <row r="3" spans="1:31">
      <c r="A3" t="s">
        <v>710</v>
      </c>
      <c r="B3" s="51"/>
    </row>
    <row r="4" spans="1:31">
      <c r="B4" s="51"/>
    </row>
    <row r="5" spans="1:31">
      <c r="A5" t="s">
        <v>711</v>
      </c>
      <c r="B5" s="51"/>
    </row>
    <row r="6" spans="1:31">
      <c r="B6" s="51"/>
    </row>
    <row r="7" spans="1:31">
      <c r="B7" s="51"/>
    </row>
    <row r="8" spans="1:31">
      <c r="B8" s="51"/>
    </row>
    <row r="9" spans="1:31">
      <c r="B9" s="51"/>
    </row>
    <row r="10" spans="1:31">
      <c r="B10" s="51"/>
    </row>
    <row r="11" spans="1:31">
      <c r="B11" s="51"/>
    </row>
    <row r="12" spans="1:31">
      <c r="B12" s="51"/>
    </row>
    <row r="13" spans="1:31">
      <c r="B13" s="51"/>
    </row>
    <row r="14" spans="1:31">
      <c r="B14" s="51"/>
    </row>
    <row r="15" spans="1:31">
      <c r="B15" s="51"/>
    </row>
    <row r="16" spans="1:31">
      <c r="B16" s="51"/>
    </row>
    <row r="17" spans="1:34">
      <c r="B17" s="51"/>
    </row>
    <row r="18" spans="1:34">
      <c r="B18" s="51"/>
    </row>
    <row r="19" spans="1:34">
      <c r="B19" s="51"/>
    </row>
    <row r="20" spans="1:34">
      <c r="B20" s="51"/>
    </row>
    <row r="21" spans="1:34">
      <c r="B21" s="51"/>
    </row>
    <row r="22" spans="1:34">
      <c r="A22" s="50"/>
      <c r="B22" s="51"/>
      <c r="C22" s="51"/>
      <c r="D22" s="51"/>
      <c r="E22" s="50"/>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row>
    <row r="23" spans="1:34">
      <c r="A23" s="53" t="s">
        <v>1623</v>
      </c>
      <c r="B23" s="51"/>
      <c r="C23" s="13" t="s">
        <v>1713</v>
      </c>
    </row>
    <row r="24" spans="1:34">
      <c r="B24" s="51"/>
      <c r="C24" s="47" t="s">
        <v>978</v>
      </c>
      <c r="D24" s="47" t="s">
        <v>1625</v>
      </c>
      <c r="E24" s="49" t="s">
        <v>979</v>
      </c>
      <c r="F24" s="155" t="s">
        <v>1882</v>
      </c>
      <c r="N24" t="s">
        <v>694</v>
      </c>
    </row>
    <row r="25" spans="1:34">
      <c r="A25" t="s">
        <v>710</v>
      </c>
      <c r="B25" s="51"/>
      <c r="C25" t="s">
        <v>1718</v>
      </c>
      <c r="D25" t="s">
        <v>1719</v>
      </c>
      <c r="E25">
        <v>2016</v>
      </c>
      <c r="F25" t="s">
        <v>294</v>
      </c>
      <c r="H25" t="s">
        <v>710</v>
      </c>
      <c r="I25" t="s">
        <v>140</v>
      </c>
      <c r="J25" t="s">
        <v>294</v>
      </c>
      <c r="K25" s="14" t="s">
        <v>1728</v>
      </c>
      <c r="L25" s="14"/>
      <c r="M25" s="14"/>
      <c r="N25" t="s">
        <v>1883</v>
      </c>
    </row>
    <row r="26" spans="1:34">
      <c r="B26" s="51"/>
      <c r="C26" t="s">
        <v>1739</v>
      </c>
      <c r="D26" t="s">
        <v>1740</v>
      </c>
      <c r="E26">
        <v>2021</v>
      </c>
      <c r="F26" t="s">
        <v>294</v>
      </c>
      <c r="H26" t="s">
        <v>710</v>
      </c>
      <c r="I26" t="s">
        <v>140</v>
      </c>
      <c r="J26" t="s">
        <v>294</v>
      </c>
      <c r="K26" s="14" t="s">
        <v>1884</v>
      </c>
      <c r="L26" s="14"/>
      <c r="M26" s="14"/>
    </row>
    <row r="27" spans="1:34">
      <c r="B27" s="51"/>
      <c r="C27" t="s">
        <v>1743</v>
      </c>
      <c r="D27" t="s">
        <v>1740</v>
      </c>
      <c r="E27">
        <v>2023</v>
      </c>
      <c r="F27" t="s">
        <v>294</v>
      </c>
      <c r="H27" t="s">
        <v>710</v>
      </c>
      <c r="I27" t="s">
        <v>140</v>
      </c>
      <c r="J27" t="s">
        <v>294</v>
      </c>
      <c r="K27" s="14" t="s">
        <v>1885</v>
      </c>
      <c r="L27" s="14"/>
      <c r="M27" s="14"/>
    </row>
    <row r="28" spans="1:34">
      <c r="B28" s="51"/>
      <c r="C28" t="s">
        <v>1769</v>
      </c>
      <c r="D28" t="s">
        <v>1770</v>
      </c>
      <c r="E28">
        <v>2016</v>
      </c>
      <c r="F28" t="s">
        <v>294</v>
      </c>
      <c r="H28" t="s">
        <v>710</v>
      </c>
      <c r="I28" t="s">
        <v>140</v>
      </c>
      <c r="J28" t="s">
        <v>294</v>
      </c>
      <c r="K28" s="14" t="s">
        <v>1886</v>
      </c>
      <c r="L28" s="14"/>
      <c r="M28" s="14"/>
    </row>
    <row r="29" spans="1:34">
      <c r="B29" s="51"/>
      <c r="C29" t="s">
        <v>1887</v>
      </c>
      <c r="D29" t="s">
        <v>1888</v>
      </c>
      <c r="E29">
        <v>2011</v>
      </c>
      <c r="F29" t="s">
        <v>294</v>
      </c>
      <c r="H29" t="s">
        <v>710</v>
      </c>
      <c r="I29" t="s">
        <v>140</v>
      </c>
      <c r="J29" t="s">
        <v>294</v>
      </c>
      <c r="K29" s="14" t="s">
        <v>1889</v>
      </c>
      <c r="L29" s="14"/>
      <c r="M29" s="14"/>
    </row>
    <row r="30" spans="1:34">
      <c r="B30" s="51"/>
      <c r="C30" t="s">
        <v>1890</v>
      </c>
      <c r="D30" t="s">
        <v>1891</v>
      </c>
      <c r="E30">
        <v>2015</v>
      </c>
      <c r="F30" t="s">
        <v>294</v>
      </c>
      <c r="H30" t="s">
        <v>710</v>
      </c>
      <c r="I30" t="s">
        <v>140</v>
      </c>
      <c r="J30" t="s">
        <v>294</v>
      </c>
      <c r="K30" s="14" t="s">
        <v>1892</v>
      </c>
      <c r="L30" s="14"/>
      <c r="M30" s="14"/>
    </row>
    <row r="31" spans="1:34">
      <c r="B31" s="51"/>
      <c r="C31" t="s">
        <v>1769</v>
      </c>
      <c r="D31" t="s">
        <v>1770</v>
      </c>
      <c r="E31">
        <v>2016</v>
      </c>
      <c r="F31" t="s">
        <v>294</v>
      </c>
      <c r="H31" t="s">
        <v>710</v>
      </c>
      <c r="I31" t="s">
        <v>140</v>
      </c>
      <c r="J31" t="s">
        <v>294</v>
      </c>
      <c r="K31" s="14" t="s">
        <v>1886</v>
      </c>
      <c r="L31" s="14"/>
      <c r="M31" s="14"/>
      <c r="N31" t="s">
        <v>1893</v>
      </c>
    </row>
    <row r="32" spans="1:34">
      <c r="B32" s="51"/>
      <c r="C32" t="s">
        <v>1894</v>
      </c>
      <c r="D32" t="s">
        <v>1740</v>
      </c>
      <c r="E32">
        <v>2023</v>
      </c>
      <c r="F32" t="s">
        <v>294</v>
      </c>
      <c r="H32" t="s">
        <v>710</v>
      </c>
      <c r="I32" t="s">
        <v>140</v>
      </c>
      <c r="J32" t="s">
        <v>294</v>
      </c>
      <c r="K32" s="14" t="s">
        <v>1895</v>
      </c>
      <c r="L32" s="14"/>
      <c r="M32" s="14"/>
    </row>
    <row r="33" spans="1:14">
      <c r="B33" s="51"/>
      <c r="C33" t="s">
        <v>1896</v>
      </c>
      <c r="D33" t="s">
        <v>1897</v>
      </c>
      <c r="E33">
        <v>1978</v>
      </c>
      <c r="F33" t="s">
        <v>294</v>
      </c>
      <c r="H33" t="s">
        <v>710</v>
      </c>
      <c r="I33" t="s">
        <v>140</v>
      </c>
      <c r="J33" t="s">
        <v>294</v>
      </c>
      <c r="K33" s="14" t="s">
        <v>1898</v>
      </c>
      <c r="L33" s="14"/>
      <c r="M33" s="14"/>
    </row>
    <row r="34" spans="1:14">
      <c r="B34" s="51"/>
      <c r="C34" t="s">
        <v>1899</v>
      </c>
      <c r="D34" t="s">
        <v>1900</v>
      </c>
      <c r="E34">
        <v>1999</v>
      </c>
      <c r="F34" t="s">
        <v>294</v>
      </c>
      <c r="H34" t="s">
        <v>710</v>
      </c>
      <c r="I34" t="s">
        <v>140</v>
      </c>
      <c r="J34" t="s">
        <v>294</v>
      </c>
      <c r="K34" s="14" t="s">
        <v>1901</v>
      </c>
      <c r="L34" s="14"/>
      <c r="M34" s="14"/>
    </row>
    <row r="35" spans="1:14">
      <c r="B35" s="51"/>
      <c r="C35" t="s">
        <v>1746</v>
      </c>
      <c r="D35" t="s">
        <v>1719</v>
      </c>
      <c r="E35">
        <v>2013</v>
      </c>
      <c r="F35" t="s">
        <v>294</v>
      </c>
      <c r="H35" t="s">
        <v>710</v>
      </c>
      <c r="I35" t="s">
        <v>140</v>
      </c>
      <c r="J35" t="s">
        <v>294</v>
      </c>
      <c r="K35" s="14" t="s">
        <v>1902</v>
      </c>
      <c r="L35" s="14"/>
      <c r="M35" s="14"/>
      <c r="N35" t="s">
        <v>1903</v>
      </c>
    </row>
    <row r="36" spans="1:14">
      <c r="B36" s="51"/>
      <c r="C36" t="s">
        <v>1904</v>
      </c>
      <c r="D36" t="s">
        <v>1891</v>
      </c>
      <c r="E36">
        <v>2016</v>
      </c>
      <c r="F36" t="s">
        <v>294</v>
      </c>
      <c r="H36" t="s">
        <v>710</v>
      </c>
      <c r="I36" t="s">
        <v>140</v>
      </c>
      <c r="J36" t="s">
        <v>294</v>
      </c>
      <c r="K36" s="14" t="s">
        <v>1905</v>
      </c>
      <c r="L36" s="14"/>
      <c r="M36" s="14"/>
    </row>
    <row r="37" spans="1:14">
      <c r="B37" s="51"/>
      <c r="C37" t="s">
        <v>1906</v>
      </c>
      <c r="D37" t="s">
        <v>1907</v>
      </c>
      <c r="E37">
        <v>2018</v>
      </c>
      <c r="F37" t="s">
        <v>294</v>
      </c>
      <c r="H37" t="s">
        <v>710</v>
      </c>
      <c r="I37" t="s">
        <v>140</v>
      </c>
      <c r="J37" t="s">
        <v>294</v>
      </c>
      <c r="K37" s="14" t="s">
        <v>1908</v>
      </c>
      <c r="L37" s="14"/>
      <c r="M37" s="14"/>
    </row>
    <row r="38" spans="1:14">
      <c r="B38" s="51"/>
    </row>
    <row r="39" spans="1:14">
      <c r="B39" s="51"/>
    </row>
    <row r="40" spans="1:14">
      <c r="A40" t="s">
        <v>711</v>
      </c>
      <c r="B40" s="51"/>
      <c r="C40" t="s">
        <v>1718</v>
      </c>
      <c r="D40" s="154" t="s">
        <v>1719</v>
      </c>
      <c r="E40" s="154">
        <v>2016</v>
      </c>
      <c r="H40" t="s">
        <v>711</v>
      </c>
      <c r="I40" t="s">
        <v>140</v>
      </c>
      <c r="J40" t="s">
        <v>294</v>
      </c>
      <c r="K40" s="14" t="s">
        <v>1728</v>
      </c>
      <c r="L40" s="14"/>
      <c r="M40" s="14"/>
      <c r="N40" t="s">
        <v>1909</v>
      </c>
    </row>
    <row r="41" spans="1:14">
      <c r="B41" s="51"/>
      <c r="C41" t="s">
        <v>1739</v>
      </c>
      <c r="D41" s="154" t="s">
        <v>1740</v>
      </c>
      <c r="E41" s="154">
        <v>2021</v>
      </c>
      <c r="H41" t="s">
        <v>711</v>
      </c>
      <c r="I41" t="s">
        <v>140</v>
      </c>
      <c r="J41" t="s">
        <v>294</v>
      </c>
      <c r="K41" s="14" t="s">
        <v>1884</v>
      </c>
      <c r="L41" s="14"/>
      <c r="M41" s="14"/>
    </row>
    <row r="42" spans="1:14">
      <c r="B42" s="51"/>
      <c r="C42" t="s">
        <v>1769</v>
      </c>
      <c r="D42" s="154" t="s">
        <v>1770</v>
      </c>
      <c r="E42" s="154">
        <v>2016</v>
      </c>
      <c r="H42" t="s">
        <v>711</v>
      </c>
      <c r="I42" t="s">
        <v>140</v>
      </c>
      <c r="J42" t="s">
        <v>294</v>
      </c>
      <c r="K42" s="14" t="s">
        <v>1886</v>
      </c>
      <c r="L42" s="14"/>
      <c r="M42" s="14"/>
    </row>
    <row r="43" spans="1:14">
      <c r="B43" s="51"/>
      <c r="C43" t="s">
        <v>1890</v>
      </c>
      <c r="D43" s="154" t="s">
        <v>1891</v>
      </c>
      <c r="E43" s="154">
        <v>2015</v>
      </c>
      <c r="H43" t="s">
        <v>711</v>
      </c>
      <c r="I43" t="s">
        <v>140</v>
      </c>
      <c r="J43" t="s">
        <v>294</v>
      </c>
      <c r="K43" s="14" t="s">
        <v>1892</v>
      </c>
      <c r="L43" s="14"/>
      <c r="M43" s="14"/>
    </row>
    <row r="44" spans="1:14">
      <c r="B44" s="51"/>
      <c r="C44" t="s">
        <v>1887</v>
      </c>
      <c r="D44" s="154" t="s">
        <v>1888</v>
      </c>
      <c r="E44" s="154">
        <v>2011</v>
      </c>
      <c r="H44" t="s">
        <v>711</v>
      </c>
      <c r="I44" t="s">
        <v>140</v>
      </c>
      <c r="J44" t="s">
        <v>294</v>
      </c>
      <c r="K44" s="14" t="s">
        <v>1889</v>
      </c>
      <c r="L44" s="14"/>
      <c r="M44" s="14"/>
    </row>
    <row r="45" spans="1:14">
      <c r="B45" s="51"/>
      <c r="C45" t="s">
        <v>1769</v>
      </c>
      <c r="D45" s="154" t="s">
        <v>1770</v>
      </c>
      <c r="E45" s="154">
        <v>2016</v>
      </c>
      <c r="H45" t="s">
        <v>711</v>
      </c>
      <c r="I45" t="s">
        <v>140</v>
      </c>
      <c r="J45" t="s">
        <v>294</v>
      </c>
      <c r="K45" s="14" t="s">
        <v>1886</v>
      </c>
      <c r="L45" s="14"/>
      <c r="M45" s="14"/>
      <c r="N45" t="s">
        <v>1893</v>
      </c>
    </row>
    <row r="46" spans="1:14">
      <c r="B46" s="51"/>
      <c r="C46" t="s">
        <v>1894</v>
      </c>
      <c r="D46" s="154" t="s">
        <v>1740</v>
      </c>
      <c r="E46" s="154">
        <v>2023</v>
      </c>
      <c r="H46" t="s">
        <v>711</v>
      </c>
      <c r="I46" t="s">
        <v>140</v>
      </c>
      <c r="J46" t="s">
        <v>294</v>
      </c>
      <c r="K46" s="14" t="s">
        <v>1895</v>
      </c>
      <c r="L46" s="14"/>
      <c r="M46" s="14"/>
    </row>
    <row r="47" spans="1:14">
      <c r="B47" s="51"/>
      <c r="C47" t="s">
        <v>1746</v>
      </c>
      <c r="D47" s="154" t="s">
        <v>1719</v>
      </c>
      <c r="E47" s="154">
        <v>2013</v>
      </c>
      <c r="H47" t="s">
        <v>711</v>
      </c>
      <c r="I47" t="s">
        <v>140</v>
      </c>
      <c r="J47" t="s">
        <v>294</v>
      </c>
      <c r="K47" s="14" t="s">
        <v>1902</v>
      </c>
      <c r="L47" s="14"/>
      <c r="M47" s="14"/>
    </row>
    <row r="48" spans="1:14">
      <c r="B48" s="51"/>
      <c r="C48" t="s">
        <v>1910</v>
      </c>
      <c r="D48" t="s">
        <v>1911</v>
      </c>
      <c r="E48">
        <v>2017</v>
      </c>
      <c r="F48" t="s">
        <v>294</v>
      </c>
      <c r="H48" t="s">
        <v>711</v>
      </c>
      <c r="I48" t="s">
        <v>140</v>
      </c>
      <c r="J48" t="s">
        <v>294</v>
      </c>
      <c r="K48" s="14" t="s">
        <v>1912</v>
      </c>
      <c r="L48" s="14"/>
      <c r="M48" s="14"/>
    </row>
    <row r="49" spans="2:13">
      <c r="B49" s="51"/>
      <c r="C49" t="s">
        <v>1913</v>
      </c>
      <c r="D49" t="s">
        <v>1914</v>
      </c>
      <c r="E49">
        <v>2015</v>
      </c>
      <c r="F49" t="s">
        <v>294</v>
      </c>
      <c r="H49" t="s">
        <v>711</v>
      </c>
      <c r="I49" t="s">
        <v>140</v>
      </c>
      <c r="J49" t="s">
        <v>294</v>
      </c>
      <c r="K49" s="14" t="s">
        <v>1915</v>
      </c>
      <c r="L49" s="14"/>
      <c r="M49" s="14"/>
    </row>
    <row r="50" spans="2:13">
      <c r="B50" s="51"/>
      <c r="C50" t="s">
        <v>1916</v>
      </c>
      <c r="D50" t="s">
        <v>1917</v>
      </c>
      <c r="E50">
        <v>2023</v>
      </c>
      <c r="F50" t="s">
        <v>294</v>
      </c>
      <c r="H50" t="s">
        <v>711</v>
      </c>
      <c r="I50" t="s">
        <v>140</v>
      </c>
      <c r="J50" t="s">
        <v>294</v>
      </c>
      <c r="K50" s="14" t="s">
        <v>1918</v>
      </c>
      <c r="L50" s="14"/>
      <c r="M50" s="14"/>
    </row>
    <row r="51" spans="2:13">
      <c r="B51" s="51"/>
      <c r="C51" t="s">
        <v>1919</v>
      </c>
      <c r="D51" t="s">
        <v>1920</v>
      </c>
      <c r="E51">
        <v>2007</v>
      </c>
      <c r="F51" t="s">
        <v>294</v>
      </c>
      <c r="H51" t="s">
        <v>711</v>
      </c>
      <c r="I51" t="s">
        <v>140</v>
      </c>
      <c r="J51" t="s">
        <v>294</v>
      </c>
      <c r="K51" s="14" t="s">
        <v>1921</v>
      </c>
      <c r="L51" s="14"/>
      <c r="M51" s="14"/>
    </row>
    <row r="52" spans="2:13">
      <c r="B52" s="51"/>
      <c r="C52" t="s">
        <v>1922</v>
      </c>
      <c r="D52" t="s">
        <v>1923</v>
      </c>
      <c r="E52">
        <v>2018</v>
      </c>
      <c r="F52" t="s">
        <v>294</v>
      </c>
      <c r="H52" t="s">
        <v>711</v>
      </c>
      <c r="I52" t="s">
        <v>140</v>
      </c>
      <c r="J52" t="s">
        <v>294</v>
      </c>
      <c r="K52" s="14" t="s">
        <v>1924</v>
      </c>
      <c r="L52" s="14"/>
      <c r="M52" s="14"/>
    </row>
    <row r="53" spans="2:13">
      <c r="B53" s="51"/>
      <c r="C53" t="s">
        <v>1925</v>
      </c>
      <c r="D53" t="s">
        <v>1926</v>
      </c>
      <c r="E53">
        <v>1986</v>
      </c>
      <c r="F53" t="s">
        <v>335</v>
      </c>
      <c r="H53" t="s">
        <v>711</v>
      </c>
      <c r="I53" t="s">
        <v>140</v>
      </c>
      <c r="J53" t="s">
        <v>294</v>
      </c>
      <c r="K53" s="14" t="s">
        <v>1927</v>
      </c>
      <c r="L53" s="14"/>
      <c r="M53" s="14"/>
    </row>
    <row r="54" spans="2:13">
      <c r="B54" s="51"/>
      <c r="C54" t="s">
        <v>1928</v>
      </c>
      <c r="D54" t="s">
        <v>1664</v>
      </c>
      <c r="E54">
        <v>2017</v>
      </c>
      <c r="F54" t="s">
        <v>335</v>
      </c>
      <c r="H54" t="s">
        <v>711</v>
      </c>
      <c r="I54" t="s">
        <v>140</v>
      </c>
      <c r="J54" t="s">
        <v>294</v>
      </c>
      <c r="K54" s="14" t="s">
        <v>1929</v>
      </c>
      <c r="L54" s="14"/>
      <c r="M54" s="14"/>
    </row>
    <row r="55" spans="2:13">
      <c r="B55" s="51"/>
      <c r="C55" t="s">
        <v>1930</v>
      </c>
      <c r="D55" t="s">
        <v>1931</v>
      </c>
      <c r="E55">
        <v>1997</v>
      </c>
      <c r="F55" t="s">
        <v>335</v>
      </c>
      <c r="H55" t="s">
        <v>711</v>
      </c>
      <c r="I55" t="s">
        <v>140</v>
      </c>
      <c r="J55" t="s">
        <v>294</v>
      </c>
      <c r="K55" s="14" t="s">
        <v>1932</v>
      </c>
      <c r="L55" s="14"/>
      <c r="M55" s="14"/>
    </row>
    <row r="56" spans="2:13">
      <c r="B56" s="51"/>
      <c r="C56" t="s">
        <v>1904</v>
      </c>
      <c r="D56" s="154" t="s">
        <v>1891</v>
      </c>
      <c r="E56" s="154">
        <v>2016</v>
      </c>
      <c r="H56" t="s">
        <v>711</v>
      </c>
      <c r="I56" t="s">
        <v>140</v>
      </c>
      <c r="J56" t="s">
        <v>294</v>
      </c>
      <c r="K56" s="14" t="s">
        <v>1905</v>
      </c>
      <c r="L56" s="14"/>
      <c r="M56" s="14"/>
    </row>
    <row r="57" spans="2:13">
      <c r="B57" s="51"/>
      <c r="C57" t="s">
        <v>1899</v>
      </c>
      <c r="D57" s="154" t="s">
        <v>1900</v>
      </c>
      <c r="E57" s="154">
        <v>1999</v>
      </c>
      <c r="H57" t="s">
        <v>711</v>
      </c>
      <c r="I57" t="s">
        <v>140</v>
      </c>
      <c r="J57" t="s">
        <v>294</v>
      </c>
      <c r="K57" s="14" t="s">
        <v>1901</v>
      </c>
      <c r="L57" s="14"/>
      <c r="M57" s="14"/>
    </row>
    <row r="58" spans="2:13">
      <c r="B58" s="51"/>
      <c r="C58" t="s">
        <v>1933</v>
      </c>
      <c r="D58" t="s">
        <v>1934</v>
      </c>
      <c r="E58">
        <v>2023</v>
      </c>
      <c r="F58" t="s">
        <v>335</v>
      </c>
      <c r="H58" t="s">
        <v>711</v>
      </c>
      <c r="I58" t="s">
        <v>140</v>
      </c>
      <c r="J58" t="s">
        <v>294</v>
      </c>
      <c r="K58" s="14" t="s">
        <v>1935</v>
      </c>
      <c r="L58" s="14"/>
      <c r="M58" s="14"/>
    </row>
    <row r="59" spans="2:13">
      <c r="B59" s="51"/>
      <c r="C59" t="s">
        <v>1936</v>
      </c>
      <c r="D59" t="s">
        <v>1937</v>
      </c>
      <c r="E59">
        <v>2006</v>
      </c>
      <c r="F59" t="s">
        <v>335</v>
      </c>
      <c r="H59" t="s">
        <v>711</v>
      </c>
      <c r="I59" t="s">
        <v>140</v>
      </c>
      <c r="J59" t="s">
        <v>294</v>
      </c>
      <c r="K59" s="14" t="s">
        <v>1938</v>
      </c>
      <c r="L59" s="14"/>
      <c r="M59" s="14"/>
    </row>
    <row r="60" spans="2:13">
      <c r="B60" s="51"/>
      <c r="C60" t="s">
        <v>1939</v>
      </c>
      <c r="D60" t="s">
        <v>1940</v>
      </c>
      <c r="E60">
        <v>1991</v>
      </c>
      <c r="F60" t="s">
        <v>335</v>
      </c>
      <c r="H60" t="s">
        <v>711</v>
      </c>
      <c r="I60" t="s">
        <v>140</v>
      </c>
      <c r="J60" t="s">
        <v>294</v>
      </c>
      <c r="K60" s="14" t="s">
        <v>1941</v>
      </c>
      <c r="L60" s="14"/>
      <c r="M60" s="14"/>
    </row>
    <row r="61" spans="2:13">
      <c r="B61" s="51"/>
    </row>
    <row r="62" spans="2:13">
      <c r="B62" s="51"/>
    </row>
    <row r="63" spans="2:13">
      <c r="B63" s="51"/>
    </row>
    <row r="64" spans="2:13">
      <c r="B64" s="51"/>
    </row>
    <row r="65" spans="2:2">
      <c r="B65" s="51"/>
    </row>
    <row r="66" spans="2:2">
      <c r="B66" s="51"/>
    </row>
    <row r="67" spans="2:2">
      <c r="B67" s="51"/>
    </row>
    <row r="68" spans="2:2">
      <c r="B68" s="51"/>
    </row>
    <row r="69" spans="2:2">
      <c r="B69" s="51"/>
    </row>
    <row r="70" spans="2:2">
      <c r="B70" s="51"/>
    </row>
    <row r="71" spans="2:2">
      <c r="B71" s="51"/>
    </row>
    <row r="72" spans="2:2">
      <c r="B72" s="51"/>
    </row>
    <row r="73" spans="2:2">
      <c r="B73" s="51"/>
    </row>
    <row r="74" spans="2:2">
      <c r="B74" s="51"/>
    </row>
    <row r="75" spans="2:2">
      <c r="B75" s="51"/>
    </row>
    <row r="76" spans="2:2">
      <c r="B76" s="51"/>
    </row>
    <row r="77" spans="2:2">
      <c r="B77" s="51"/>
    </row>
    <row r="78" spans="2:2">
      <c r="B78" s="51"/>
    </row>
    <row r="79" spans="2:2">
      <c r="B79" s="51"/>
    </row>
    <row r="80" spans="2:2">
      <c r="B80" s="51"/>
    </row>
    <row r="81" spans="2:2">
      <c r="B81" s="51"/>
    </row>
    <row r="82" spans="2:2">
      <c r="B82" s="51"/>
    </row>
    <row r="83" spans="2:2">
      <c r="B83" s="51"/>
    </row>
    <row r="84" spans="2:2">
      <c r="B84" s="51"/>
    </row>
    <row r="85" spans="2:2">
      <c r="B85" s="51"/>
    </row>
    <row r="86" spans="2:2">
      <c r="B86" s="51"/>
    </row>
    <row r="87" spans="2:2">
      <c r="B87" s="51"/>
    </row>
    <row r="88" spans="2:2">
      <c r="B88" s="51"/>
    </row>
    <row r="89" spans="2:2">
      <c r="B89" s="51"/>
    </row>
    <row r="90" spans="2:2">
      <c r="B90" s="51"/>
    </row>
    <row r="91" spans="2:2">
      <c r="B91" s="51"/>
    </row>
    <row r="92" spans="2:2">
      <c r="B92" s="51"/>
    </row>
    <row r="93" spans="2:2">
      <c r="B93" s="51"/>
    </row>
    <row r="94" spans="2:2">
      <c r="B94" s="51"/>
    </row>
    <row r="95" spans="2:2">
      <c r="B95" s="51"/>
    </row>
    <row r="96" spans="2:2">
      <c r="B96" s="5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55FFA-DCDD-4710-BD48-55BFCFCCFACA}">
  <dimension ref="A2:W39"/>
  <sheetViews>
    <sheetView topLeftCell="B1" workbookViewId="0">
      <selection activeCell="C39" sqref="C39"/>
    </sheetView>
  </sheetViews>
  <sheetFormatPr defaultRowHeight="14.4"/>
  <cols>
    <col min="1" max="1" width="46.578125" customWidth="1"/>
    <col min="2" max="2" width="102.68359375" customWidth="1"/>
    <col min="3" max="3" width="11.15625" customWidth="1"/>
    <col min="5" max="5" width="13.83984375" customWidth="1"/>
    <col min="7" max="7" width="19.41796875" customWidth="1"/>
    <col min="8" max="8" width="25.15625" customWidth="1"/>
    <col min="10" max="10" width="28.41796875" customWidth="1"/>
    <col min="11" max="11" width="11.83984375" customWidth="1"/>
    <col min="12" max="12" width="107.26171875" customWidth="1"/>
    <col min="13" max="13" width="34.15625" customWidth="1"/>
    <col min="15" max="15" width="8.15625" customWidth="1"/>
    <col min="16" max="16" width="9.83984375" customWidth="1"/>
    <col min="17" max="17" width="9.578125" customWidth="1"/>
    <col min="18" max="18" width="14.26171875" customWidth="1"/>
    <col min="19" max="19" width="45.41796875" customWidth="1"/>
    <col min="20" max="20" width="17.41796875" customWidth="1"/>
    <col min="21" max="21" width="42.83984375" customWidth="1"/>
    <col min="22" max="22" width="34.15625" customWidth="1"/>
    <col min="23" max="23" width="48.68359375" customWidth="1"/>
  </cols>
  <sheetData>
    <row r="2" spans="1:23">
      <c r="A2" s="67" t="s">
        <v>1942</v>
      </c>
    </row>
    <row r="3" spans="1:23" s="13" customFormat="1">
      <c r="A3" s="101" t="s">
        <v>1943</v>
      </c>
    </row>
    <row r="4" spans="1:23">
      <c r="A4" s="101"/>
      <c r="B4" s="8"/>
      <c r="C4" s="8"/>
      <c r="D4" s="8"/>
      <c r="E4" s="8"/>
      <c r="F4" s="8"/>
      <c r="G4" s="8"/>
      <c r="H4" s="8"/>
      <c r="I4" s="8"/>
      <c r="J4" s="8"/>
      <c r="K4" s="8"/>
      <c r="L4" s="8"/>
      <c r="M4" s="8"/>
      <c r="N4" s="8"/>
      <c r="O4" s="8"/>
      <c r="P4" s="8"/>
      <c r="Q4" s="8"/>
      <c r="R4" s="8"/>
      <c r="S4" s="8"/>
      <c r="T4" s="8"/>
    </row>
    <row r="5" spans="1:23" ht="28.8">
      <c r="A5" s="46" t="s">
        <v>1623</v>
      </c>
      <c r="B5" s="47" t="s">
        <v>978</v>
      </c>
      <c r="C5" s="47" t="s">
        <v>1625</v>
      </c>
      <c r="D5" s="49" t="s">
        <v>979</v>
      </c>
      <c r="E5" s="48" t="s">
        <v>0</v>
      </c>
      <c r="F5" s="48" t="s">
        <v>1</v>
      </c>
      <c r="G5" s="48" t="s">
        <v>2</v>
      </c>
      <c r="H5" s="48" t="s">
        <v>3</v>
      </c>
      <c r="I5" s="48" t="s">
        <v>1263</v>
      </c>
      <c r="J5" s="48" t="s">
        <v>5</v>
      </c>
      <c r="K5" s="48" t="s">
        <v>7</v>
      </c>
      <c r="L5" s="48" t="s">
        <v>8</v>
      </c>
      <c r="M5" s="48" t="s">
        <v>9</v>
      </c>
      <c r="N5" s="48" t="s">
        <v>11</v>
      </c>
      <c r="O5" s="48" t="s">
        <v>12</v>
      </c>
      <c r="P5" s="48" t="s">
        <v>13</v>
      </c>
      <c r="Q5" s="48" t="s">
        <v>14</v>
      </c>
      <c r="R5" s="48" t="s">
        <v>15</v>
      </c>
      <c r="S5" s="48" t="s">
        <v>16</v>
      </c>
      <c r="T5" s="48" t="s">
        <v>17</v>
      </c>
      <c r="U5" s="48" t="s">
        <v>18</v>
      </c>
      <c r="V5" s="48" t="s">
        <v>19</v>
      </c>
      <c r="W5" s="48" t="s">
        <v>20</v>
      </c>
    </row>
    <row r="6" spans="1:23" ht="18">
      <c r="A6" t="s">
        <v>702</v>
      </c>
      <c r="B6" t="s">
        <v>1732</v>
      </c>
      <c r="C6" t="s">
        <v>1719</v>
      </c>
      <c r="D6">
        <v>2015</v>
      </c>
      <c r="E6">
        <v>0.4</v>
      </c>
      <c r="F6" t="s">
        <v>1944</v>
      </c>
      <c r="G6" s="68" t="s">
        <v>1722</v>
      </c>
      <c r="H6" s="61" t="s">
        <v>1945</v>
      </c>
      <c r="I6" t="s">
        <v>1944</v>
      </c>
      <c r="J6" t="s">
        <v>1724</v>
      </c>
      <c r="L6" t="s">
        <v>1946</v>
      </c>
      <c r="M6" t="s">
        <v>1947</v>
      </c>
      <c r="N6">
        <v>1</v>
      </c>
      <c r="O6">
        <v>4</v>
      </c>
      <c r="P6" s="68">
        <v>2005</v>
      </c>
      <c r="Q6">
        <v>2009</v>
      </c>
      <c r="R6" t="s">
        <v>140</v>
      </c>
      <c r="S6" t="s">
        <v>1948</v>
      </c>
      <c r="T6" t="s">
        <v>1949</v>
      </c>
      <c r="U6" s="69" t="s">
        <v>1950</v>
      </c>
      <c r="W6" s="2" t="s">
        <v>1951</v>
      </c>
    </row>
    <row r="9" spans="1:23" s="13" customFormat="1">
      <c r="A9" s="13" t="s">
        <v>1952</v>
      </c>
    </row>
    <row r="10" spans="1:23" ht="28.8">
      <c r="A10" s="46" t="s">
        <v>1623</v>
      </c>
      <c r="B10" s="47" t="s">
        <v>978</v>
      </c>
      <c r="C10" s="47" t="s">
        <v>1625</v>
      </c>
      <c r="D10" s="49" t="s">
        <v>979</v>
      </c>
      <c r="E10" s="48" t="s">
        <v>0</v>
      </c>
      <c r="F10" s="48" t="s">
        <v>1</v>
      </c>
      <c r="G10" s="48" t="s">
        <v>2</v>
      </c>
      <c r="H10" s="48" t="s">
        <v>3</v>
      </c>
      <c r="I10" s="48" t="s">
        <v>1263</v>
      </c>
      <c r="J10" s="48" t="s">
        <v>5</v>
      </c>
      <c r="K10" s="48" t="s">
        <v>7</v>
      </c>
      <c r="L10" s="48" t="s">
        <v>8</v>
      </c>
      <c r="M10" s="48" t="s">
        <v>9</v>
      </c>
      <c r="N10" s="48" t="s">
        <v>11</v>
      </c>
      <c r="O10" s="48" t="s">
        <v>12</v>
      </c>
      <c r="P10" s="48" t="s">
        <v>13</v>
      </c>
      <c r="Q10" s="48" t="s">
        <v>14</v>
      </c>
      <c r="R10" s="48" t="s">
        <v>15</v>
      </c>
      <c r="S10" s="48" t="s">
        <v>16</v>
      </c>
      <c r="T10" s="48" t="s">
        <v>17</v>
      </c>
      <c r="U10" s="48" t="s">
        <v>18</v>
      </c>
      <c r="V10" s="48" t="s">
        <v>19</v>
      </c>
      <c r="W10" s="48" t="s">
        <v>20</v>
      </c>
    </row>
    <row r="11" spans="1:23">
      <c r="A11" t="s">
        <v>703</v>
      </c>
      <c r="B11" t="s">
        <v>1732</v>
      </c>
      <c r="C11" t="s">
        <v>1719</v>
      </c>
      <c r="D11">
        <v>2015</v>
      </c>
      <c r="V11" t="s">
        <v>1953</v>
      </c>
      <c r="W11" s="2" t="s">
        <v>1951</v>
      </c>
    </row>
    <row r="12" spans="1:23" ht="15.3">
      <c r="B12" s="65" t="s">
        <v>1739</v>
      </c>
      <c r="C12" s="62" t="s">
        <v>1954</v>
      </c>
      <c r="D12">
        <v>2021</v>
      </c>
      <c r="W12" s="2" t="s">
        <v>1955</v>
      </c>
    </row>
    <row r="13" spans="1:23" ht="15.3">
      <c r="B13" s="65" t="s">
        <v>1743</v>
      </c>
      <c r="C13" s="62" t="s">
        <v>1954</v>
      </c>
      <c r="D13">
        <v>2023</v>
      </c>
      <c r="V13" s="63" t="s">
        <v>1956</v>
      </c>
      <c r="W13" s="2" t="s">
        <v>1957</v>
      </c>
    </row>
    <row r="14" spans="1:23">
      <c r="B14" s="66" t="s">
        <v>1958</v>
      </c>
      <c r="C14" t="s">
        <v>1959</v>
      </c>
      <c r="D14">
        <v>2012</v>
      </c>
      <c r="W14" s="2" t="s">
        <v>1960</v>
      </c>
    </row>
    <row r="15" spans="1:23" ht="15.3">
      <c r="B15" s="66" t="s">
        <v>1961</v>
      </c>
      <c r="C15" s="62" t="s">
        <v>1954</v>
      </c>
      <c r="D15">
        <v>2023</v>
      </c>
      <c r="W15" s="2" t="s">
        <v>1962</v>
      </c>
    </row>
    <row r="16" spans="1:23">
      <c r="B16" s="102" t="s">
        <v>1963</v>
      </c>
      <c r="C16" t="s">
        <v>1964</v>
      </c>
      <c r="D16">
        <v>2016</v>
      </c>
    </row>
    <row r="17" spans="1:23">
      <c r="B17" s="65" t="s">
        <v>1965</v>
      </c>
      <c r="C17" s="64" t="s">
        <v>1923</v>
      </c>
      <c r="D17">
        <v>2018</v>
      </c>
      <c r="W17" s="2" t="s">
        <v>1966</v>
      </c>
    </row>
    <row r="23" spans="1:23" s="13" customFormat="1">
      <c r="A23" s="13" t="s">
        <v>1967</v>
      </c>
    </row>
    <row r="24" spans="1:23" ht="28.8">
      <c r="A24" s="46" t="s">
        <v>1623</v>
      </c>
      <c r="B24" s="47" t="s">
        <v>978</v>
      </c>
      <c r="C24" s="47" t="s">
        <v>1625</v>
      </c>
      <c r="D24" s="49" t="s">
        <v>979</v>
      </c>
      <c r="E24" s="48" t="s">
        <v>0</v>
      </c>
      <c r="F24" s="48" t="s">
        <v>1</v>
      </c>
      <c r="G24" s="48" t="s">
        <v>2</v>
      </c>
      <c r="H24" s="48" t="s">
        <v>3</v>
      </c>
      <c r="I24" s="48" t="s">
        <v>1263</v>
      </c>
      <c r="J24" s="48" t="s">
        <v>5</v>
      </c>
      <c r="K24" s="48" t="s">
        <v>7</v>
      </c>
      <c r="L24" s="48" t="s">
        <v>8</v>
      </c>
      <c r="M24" s="48" t="s">
        <v>9</v>
      </c>
      <c r="N24" s="48" t="s">
        <v>11</v>
      </c>
      <c r="O24" s="48" t="s">
        <v>12</v>
      </c>
      <c r="P24" s="48" t="s">
        <v>13</v>
      </c>
      <c r="Q24" s="48" t="s">
        <v>14</v>
      </c>
      <c r="R24" s="48" t="s">
        <v>15</v>
      </c>
      <c r="S24" s="48" t="s">
        <v>16</v>
      </c>
      <c r="T24" s="48" t="s">
        <v>17</v>
      </c>
      <c r="U24" s="48" t="s">
        <v>18</v>
      </c>
      <c r="V24" s="48" t="s">
        <v>19</v>
      </c>
      <c r="W24" s="48" t="s">
        <v>20</v>
      </c>
    </row>
    <row r="30" spans="1:23" s="13" customFormat="1">
      <c r="A30" s="13" t="s">
        <v>1968</v>
      </c>
    </row>
    <row r="31" spans="1:23" ht="28.8">
      <c r="A31" s="46" t="s">
        <v>1623</v>
      </c>
      <c r="B31" s="47" t="s">
        <v>978</v>
      </c>
      <c r="C31" s="47" t="s">
        <v>1625</v>
      </c>
      <c r="D31" s="49" t="s">
        <v>979</v>
      </c>
      <c r="E31" s="48" t="s">
        <v>0</v>
      </c>
      <c r="F31" s="48" t="s">
        <v>1</v>
      </c>
      <c r="G31" s="48" t="s">
        <v>2</v>
      </c>
      <c r="H31" s="48" t="s">
        <v>3</v>
      </c>
      <c r="I31" s="48" t="s">
        <v>1263</v>
      </c>
      <c r="J31" s="48" t="s">
        <v>5</v>
      </c>
      <c r="K31" s="48" t="s">
        <v>7</v>
      </c>
      <c r="L31" s="48" t="s">
        <v>8</v>
      </c>
      <c r="M31" s="48" t="s">
        <v>9</v>
      </c>
      <c r="N31" s="48" t="s">
        <v>11</v>
      </c>
      <c r="O31" s="48" t="s">
        <v>12</v>
      </c>
      <c r="P31" s="48" t="s">
        <v>13</v>
      </c>
      <c r="Q31" s="48" t="s">
        <v>14</v>
      </c>
      <c r="R31" s="48" t="s">
        <v>15</v>
      </c>
      <c r="S31" s="48" t="s">
        <v>16</v>
      </c>
      <c r="T31" s="48" t="s">
        <v>17</v>
      </c>
      <c r="U31" s="48" t="s">
        <v>18</v>
      </c>
      <c r="V31" s="48" t="s">
        <v>19</v>
      </c>
      <c r="W31" s="48" t="s">
        <v>20</v>
      </c>
    </row>
    <row r="36" spans="1:23" ht="28.8">
      <c r="A36" s="79" t="s">
        <v>1969</v>
      </c>
    </row>
    <row r="37" spans="1:23" ht="28.8">
      <c r="A37" s="46" t="s">
        <v>1623</v>
      </c>
      <c r="B37" s="47" t="s">
        <v>978</v>
      </c>
      <c r="C37" s="47" t="s">
        <v>1625</v>
      </c>
      <c r="D37" s="49" t="s">
        <v>979</v>
      </c>
      <c r="E37" s="80" t="s">
        <v>0</v>
      </c>
      <c r="F37" s="80" t="s">
        <v>1</v>
      </c>
      <c r="G37" s="80" t="s">
        <v>2</v>
      </c>
      <c r="H37" s="80" t="s">
        <v>3</v>
      </c>
      <c r="I37" s="80" t="s">
        <v>1263</v>
      </c>
      <c r="J37" s="80" t="s">
        <v>5</v>
      </c>
      <c r="K37" s="80" t="s">
        <v>7</v>
      </c>
      <c r="L37" s="80" t="s">
        <v>8</v>
      </c>
      <c r="M37" s="80" t="s">
        <v>9</v>
      </c>
      <c r="N37" s="80" t="s">
        <v>11</v>
      </c>
      <c r="O37" s="80" t="s">
        <v>12</v>
      </c>
      <c r="P37" s="80" t="s">
        <v>13</v>
      </c>
      <c r="Q37" s="80" t="s">
        <v>14</v>
      </c>
      <c r="R37" s="80" t="s">
        <v>15</v>
      </c>
      <c r="S37" s="80" t="s">
        <v>16</v>
      </c>
      <c r="T37" s="80" t="s">
        <v>17</v>
      </c>
      <c r="U37" s="80" t="s">
        <v>18</v>
      </c>
      <c r="V37" s="80" t="s">
        <v>19</v>
      </c>
      <c r="W37" s="80" t="s">
        <v>20</v>
      </c>
    </row>
    <row r="38" spans="1:23" ht="15.6">
      <c r="A38" s="8" t="s">
        <v>697</v>
      </c>
      <c r="M38" t="s">
        <v>621</v>
      </c>
      <c r="R38" t="s">
        <v>140</v>
      </c>
      <c r="S38" s="81" t="s">
        <v>1970</v>
      </c>
      <c r="T38" s="81" t="s">
        <v>1971</v>
      </c>
      <c r="U38" s="81" t="s">
        <v>1972</v>
      </c>
      <c r="W38" s="2" t="s">
        <v>1973</v>
      </c>
    </row>
    <row r="39" spans="1:23" ht="15.6">
      <c r="B39" s="81" t="s">
        <v>1974</v>
      </c>
      <c r="C39" s="81" t="s">
        <v>1975</v>
      </c>
      <c r="D39">
        <v>2015</v>
      </c>
    </row>
  </sheetData>
  <hyperlinks>
    <hyperlink ref="W6" r:id="rId1" xr:uid="{09E958CE-8917-4727-B1FF-97F8D1C19C28}"/>
    <hyperlink ref="W13" r:id="rId2" xr:uid="{0583ECA4-ABAB-438F-AA7E-E03509BB949D}"/>
    <hyperlink ref="W14" r:id="rId3" xr:uid="{6F8A7580-DF1E-45D6-A38A-704310FCE657}"/>
    <hyperlink ref="W12" r:id="rId4" xr:uid="{59F473F5-994B-466B-9831-8D5CE7C60F87}"/>
    <hyperlink ref="W17" r:id="rId5" xr:uid="{6ED1BADB-357D-4551-AABF-AB5097C0F912}"/>
    <hyperlink ref="W15" r:id="rId6" xr:uid="{18BD8183-29E0-4394-B022-8D6D82548FBB}"/>
    <hyperlink ref="W11" r:id="rId7" xr:uid="{E972554F-269C-4387-9530-9F65C457909C}"/>
    <hyperlink ref="W38" r:id="rId8" xr:uid="{61C84202-7D42-4A17-9269-A7D9D9EC892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62CD-67C1-4F99-86A6-63A386B4FA85}">
  <dimension ref="A1:BC132"/>
  <sheetViews>
    <sheetView topLeftCell="A28" workbookViewId="0">
      <selection activeCell="D40" sqref="D40"/>
    </sheetView>
  </sheetViews>
  <sheetFormatPr defaultRowHeight="14.4"/>
  <cols>
    <col min="1" max="1" width="24" customWidth="1"/>
    <col min="4" max="4" width="36.578125" bestFit="1" customWidth="1"/>
  </cols>
  <sheetData>
    <row r="1" spans="1:55" ht="43.2">
      <c r="A1" s="8" t="s">
        <v>1976</v>
      </c>
      <c r="B1" s="8" t="s">
        <v>1977</v>
      </c>
      <c r="C1" s="8"/>
      <c r="D1" s="92" t="s">
        <v>1978</v>
      </c>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row>
    <row r="2" spans="1:55">
      <c r="A2" s="8" t="s">
        <v>1979</v>
      </c>
      <c r="B2" s="8" t="s">
        <v>1980</v>
      </c>
      <c r="C2" s="8" t="s">
        <v>1981</v>
      </c>
      <c r="D2" s="8" t="s">
        <v>1982</v>
      </c>
      <c r="E2" s="8" t="s">
        <v>18</v>
      </c>
      <c r="F2" s="8" t="s">
        <v>20</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row>
    <row r="3" spans="1:55">
      <c r="A3" s="15" t="s">
        <v>226</v>
      </c>
      <c r="B3" s="15" t="s">
        <v>1983</v>
      </c>
      <c r="C3" s="15" t="s">
        <v>1984</v>
      </c>
      <c r="D3" s="15"/>
      <c r="E3" s="28" t="s">
        <v>339</v>
      </c>
      <c r="F3" s="29" t="s">
        <v>341</v>
      </c>
      <c r="G3" s="30"/>
      <c r="H3" s="30"/>
      <c r="I3" s="30"/>
      <c r="J3" s="30"/>
      <c r="K3" s="30"/>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row>
    <row r="4" spans="1:55">
      <c r="A4" s="15" t="s">
        <v>226</v>
      </c>
      <c r="B4" s="15" t="s">
        <v>1985</v>
      </c>
      <c r="C4" s="15" t="s">
        <v>1986</v>
      </c>
      <c r="D4" s="15"/>
      <c r="E4" s="28" t="s">
        <v>1987</v>
      </c>
      <c r="F4" s="29" t="s">
        <v>1988</v>
      </c>
      <c r="G4" s="30"/>
      <c r="H4" s="30"/>
      <c r="I4" s="30"/>
      <c r="J4" s="30"/>
      <c r="K4" s="30"/>
      <c r="L4" s="30"/>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row>
    <row r="5" spans="1:55">
      <c r="A5" s="93" t="s">
        <v>331</v>
      </c>
      <c r="B5" s="93" t="s">
        <v>1989</v>
      </c>
      <c r="C5" s="93" t="s">
        <v>1990</v>
      </c>
      <c r="D5" s="93" t="s">
        <v>1991</v>
      </c>
      <c r="E5" s="31" t="s">
        <v>172</v>
      </c>
      <c r="F5" s="32" t="s">
        <v>1992</v>
      </c>
      <c r="G5" s="33"/>
      <c r="H5" s="33"/>
      <c r="I5" s="33"/>
      <c r="J5" s="33"/>
      <c r="K5" s="93" t="s">
        <v>1562</v>
      </c>
      <c r="L5" s="93" t="s">
        <v>1562</v>
      </c>
      <c r="M5" s="93" t="s">
        <v>1562</v>
      </c>
      <c r="N5" s="93" t="s">
        <v>1562</v>
      </c>
      <c r="O5" s="93" t="s">
        <v>1562</v>
      </c>
      <c r="P5" s="93" t="s">
        <v>1562</v>
      </c>
      <c r="Q5" s="93" t="s">
        <v>1562</v>
      </c>
      <c r="R5" s="93" t="s">
        <v>1562</v>
      </c>
      <c r="S5" s="93" t="s">
        <v>1562</v>
      </c>
      <c r="T5" s="93" t="s">
        <v>1562</v>
      </c>
      <c r="U5" s="93" t="s">
        <v>1562</v>
      </c>
      <c r="V5" s="93" t="s">
        <v>1562</v>
      </c>
      <c r="W5" s="93" t="s">
        <v>1562</v>
      </c>
      <c r="X5" s="93" t="s">
        <v>1562</v>
      </c>
      <c r="Y5" s="93" t="s">
        <v>1562</v>
      </c>
      <c r="Z5" s="93" t="s">
        <v>1562</v>
      </c>
      <c r="AA5" s="93" t="s">
        <v>1562</v>
      </c>
      <c r="AB5" s="93" t="s">
        <v>1562</v>
      </c>
      <c r="AC5" s="93" t="s">
        <v>1562</v>
      </c>
      <c r="AD5" s="93" t="s">
        <v>1562</v>
      </c>
      <c r="AE5" s="93" t="s">
        <v>1562</v>
      </c>
      <c r="AF5" s="93" t="s">
        <v>1562</v>
      </c>
      <c r="AG5" s="93" t="s">
        <v>1562</v>
      </c>
      <c r="AH5" s="93" t="s">
        <v>1562</v>
      </c>
      <c r="AI5" s="93" t="s">
        <v>1562</v>
      </c>
      <c r="AJ5" s="93" t="s">
        <v>1562</v>
      </c>
      <c r="AK5" s="93" t="s">
        <v>1562</v>
      </c>
      <c r="AL5" s="93" t="s">
        <v>1562</v>
      </c>
      <c r="AM5" s="93" t="s">
        <v>1562</v>
      </c>
      <c r="AN5" s="93" t="s">
        <v>1562</v>
      </c>
      <c r="AO5" s="93" t="s">
        <v>1562</v>
      </c>
      <c r="AP5" s="93" t="s">
        <v>1562</v>
      </c>
      <c r="AQ5" s="93" t="s">
        <v>1562</v>
      </c>
      <c r="AR5" s="93" t="s">
        <v>1562</v>
      </c>
      <c r="AS5" s="93" t="s">
        <v>1562</v>
      </c>
      <c r="AT5" s="93" t="s">
        <v>1562</v>
      </c>
      <c r="AU5" s="93" t="s">
        <v>1562</v>
      </c>
      <c r="AV5" s="93" t="s">
        <v>1562</v>
      </c>
      <c r="AW5" s="93" t="s">
        <v>1562</v>
      </c>
      <c r="AX5" s="93" t="s">
        <v>1562</v>
      </c>
      <c r="AY5" s="93" t="s">
        <v>1562</v>
      </c>
      <c r="AZ5" s="93" t="s">
        <v>1562</v>
      </c>
      <c r="BA5" s="93" t="s">
        <v>1562</v>
      </c>
      <c r="BB5" s="93" t="s">
        <v>1562</v>
      </c>
      <c r="BC5" s="93" t="s">
        <v>1562</v>
      </c>
    </row>
    <row r="6" spans="1:55">
      <c r="A6" s="15" t="s">
        <v>226</v>
      </c>
      <c r="B6" s="15" t="s">
        <v>1993</v>
      </c>
      <c r="C6" s="15" t="s">
        <v>1994</v>
      </c>
      <c r="D6" s="15"/>
      <c r="E6" s="28" t="s">
        <v>327</v>
      </c>
      <c r="F6" s="29" t="s">
        <v>1995</v>
      </c>
      <c r="G6" s="30"/>
      <c r="H6" s="30"/>
      <c r="I6" s="30"/>
      <c r="J6" s="30"/>
      <c r="K6" s="30"/>
      <c r="L6" s="30"/>
      <c r="M6" s="30"/>
      <c r="N6" s="30"/>
      <c r="O6" s="30"/>
      <c r="P6" s="30"/>
      <c r="Q6" s="30"/>
      <c r="R6" s="30"/>
      <c r="S6" s="30"/>
      <c r="T6" s="30"/>
      <c r="U6" s="30"/>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row>
    <row r="7" spans="1:55">
      <c r="A7" s="15" t="s">
        <v>331</v>
      </c>
      <c r="B7" s="15" t="s">
        <v>1996</v>
      </c>
      <c r="C7" s="15" t="s">
        <v>1997</v>
      </c>
      <c r="D7" s="15" t="s">
        <v>1998</v>
      </c>
      <c r="E7" s="28" t="s">
        <v>208</v>
      </c>
      <c r="F7" s="29" t="s">
        <v>1999</v>
      </c>
      <c r="G7" s="30"/>
      <c r="H7" s="30"/>
      <c r="I7" s="30"/>
      <c r="J7" s="30"/>
      <c r="K7" s="30"/>
      <c r="L7" s="30"/>
      <c r="M7" s="30"/>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row>
    <row r="8" spans="1:55">
      <c r="A8" s="93" t="s">
        <v>331</v>
      </c>
      <c r="B8" s="93" t="s">
        <v>1128</v>
      </c>
      <c r="C8" s="93" t="s">
        <v>215</v>
      </c>
      <c r="D8" s="93" t="s">
        <v>2000</v>
      </c>
      <c r="E8" s="31" t="s">
        <v>345</v>
      </c>
      <c r="F8" s="32" t="s">
        <v>217</v>
      </c>
      <c r="G8" s="33"/>
      <c r="H8" s="33"/>
      <c r="I8" s="33"/>
      <c r="J8" s="33"/>
      <c r="K8" s="33"/>
      <c r="L8" s="33"/>
      <c r="M8" s="33"/>
      <c r="N8" s="93" t="s">
        <v>1562</v>
      </c>
      <c r="O8" s="93" t="s">
        <v>1562</v>
      </c>
      <c r="P8" s="93" t="s">
        <v>1562</v>
      </c>
      <c r="Q8" s="93" t="s">
        <v>1562</v>
      </c>
      <c r="R8" s="93" t="s">
        <v>1562</v>
      </c>
      <c r="S8" s="93" t="s">
        <v>1562</v>
      </c>
      <c r="T8" s="93" t="s">
        <v>1562</v>
      </c>
      <c r="U8" s="93" t="s">
        <v>1562</v>
      </c>
      <c r="V8" s="93" t="s">
        <v>1562</v>
      </c>
      <c r="W8" s="93" t="s">
        <v>1562</v>
      </c>
      <c r="X8" s="93" t="s">
        <v>1562</v>
      </c>
      <c r="Y8" s="93" t="s">
        <v>1562</v>
      </c>
      <c r="Z8" s="93" t="s">
        <v>1562</v>
      </c>
      <c r="AA8" s="93" t="s">
        <v>1562</v>
      </c>
      <c r="AB8" s="93" t="s">
        <v>1562</v>
      </c>
      <c r="AC8" s="93" t="s">
        <v>1562</v>
      </c>
      <c r="AD8" s="93" t="s">
        <v>1562</v>
      </c>
      <c r="AE8" s="93" t="s">
        <v>1562</v>
      </c>
      <c r="AF8" s="93" t="s">
        <v>1562</v>
      </c>
      <c r="AG8" s="93" t="s">
        <v>1562</v>
      </c>
      <c r="AH8" s="93" t="s">
        <v>1562</v>
      </c>
      <c r="AI8" s="93" t="s">
        <v>1562</v>
      </c>
      <c r="AJ8" s="93" t="s">
        <v>1562</v>
      </c>
      <c r="AK8" s="93" t="s">
        <v>1562</v>
      </c>
      <c r="AL8" s="93" t="s">
        <v>1562</v>
      </c>
      <c r="AM8" s="93" t="s">
        <v>1562</v>
      </c>
      <c r="AN8" s="93" t="s">
        <v>1562</v>
      </c>
      <c r="AO8" s="93" t="s">
        <v>1562</v>
      </c>
      <c r="AP8" s="93" t="s">
        <v>1562</v>
      </c>
      <c r="AQ8" s="93" t="s">
        <v>1562</v>
      </c>
      <c r="AR8" s="93" t="s">
        <v>1562</v>
      </c>
      <c r="AS8" s="93" t="s">
        <v>1562</v>
      </c>
      <c r="AT8" s="93" t="s">
        <v>1562</v>
      </c>
      <c r="AU8" s="93" t="s">
        <v>1562</v>
      </c>
      <c r="AV8" s="93" t="s">
        <v>1562</v>
      </c>
      <c r="AW8" s="93" t="s">
        <v>1562</v>
      </c>
      <c r="AX8" s="93" t="s">
        <v>1562</v>
      </c>
      <c r="AY8" s="93" t="s">
        <v>1562</v>
      </c>
      <c r="AZ8" s="93" t="s">
        <v>1562</v>
      </c>
      <c r="BA8" s="93" t="s">
        <v>1562</v>
      </c>
      <c r="BB8" s="93" t="s">
        <v>1562</v>
      </c>
      <c r="BC8" s="93" t="s">
        <v>1562</v>
      </c>
    </row>
    <row r="9" spans="1:55">
      <c r="A9" s="93" t="s">
        <v>226</v>
      </c>
      <c r="B9" s="93" t="s">
        <v>1087</v>
      </c>
      <c r="C9" s="93" t="s">
        <v>1084</v>
      </c>
      <c r="D9" s="93"/>
      <c r="E9" s="31" t="s">
        <v>345</v>
      </c>
      <c r="F9" s="32" t="s">
        <v>217</v>
      </c>
      <c r="G9" s="33"/>
      <c r="H9" s="33"/>
      <c r="I9" s="33"/>
      <c r="J9" s="33"/>
      <c r="K9" s="33"/>
      <c r="L9" s="33"/>
      <c r="M9" s="33"/>
      <c r="N9" s="93" t="s">
        <v>1562</v>
      </c>
      <c r="O9" s="93" t="s">
        <v>1562</v>
      </c>
      <c r="P9" s="93" t="s">
        <v>1562</v>
      </c>
      <c r="Q9" s="93" t="s">
        <v>1562</v>
      </c>
      <c r="R9" s="93" t="s">
        <v>1562</v>
      </c>
      <c r="S9" s="93" t="s">
        <v>1562</v>
      </c>
      <c r="T9" s="93" t="s">
        <v>1562</v>
      </c>
      <c r="U9" s="93" t="s">
        <v>1562</v>
      </c>
      <c r="V9" s="93" t="s">
        <v>1562</v>
      </c>
      <c r="W9" s="93" t="s">
        <v>1562</v>
      </c>
      <c r="X9" s="93" t="s">
        <v>1562</v>
      </c>
      <c r="Y9" s="93" t="s">
        <v>1562</v>
      </c>
      <c r="Z9" s="93" t="s">
        <v>1562</v>
      </c>
      <c r="AA9" s="93" t="s">
        <v>1562</v>
      </c>
      <c r="AB9" s="93" t="s">
        <v>1562</v>
      </c>
      <c r="AC9" s="93" t="s">
        <v>1562</v>
      </c>
      <c r="AD9" s="93" t="s">
        <v>1562</v>
      </c>
      <c r="AE9" s="93" t="s">
        <v>1562</v>
      </c>
      <c r="AF9" s="93" t="s">
        <v>1562</v>
      </c>
      <c r="AG9" s="93" t="s">
        <v>1562</v>
      </c>
      <c r="AH9" s="93" t="s">
        <v>1562</v>
      </c>
      <c r="AI9" s="93" t="s">
        <v>1562</v>
      </c>
      <c r="AJ9" s="93" t="s">
        <v>1562</v>
      </c>
      <c r="AK9" s="93" t="s">
        <v>1562</v>
      </c>
      <c r="AL9" s="93" t="s">
        <v>1562</v>
      </c>
      <c r="AM9" s="93" t="s">
        <v>1562</v>
      </c>
      <c r="AN9" s="93" t="s">
        <v>1562</v>
      </c>
      <c r="AO9" s="93" t="s">
        <v>1562</v>
      </c>
      <c r="AP9" s="93" t="s">
        <v>1562</v>
      </c>
      <c r="AQ9" s="93" t="s">
        <v>1562</v>
      </c>
      <c r="AR9" s="93" t="s">
        <v>1562</v>
      </c>
      <c r="AS9" s="93" t="s">
        <v>1562</v>
      </c>
      <c r="AT9" s="93" t="s">
        <v>1562</v>
      </c>
      <c r="AU9" s="93" t="s">
        <v>1562</v>
      </c>
      <c r="AV9" s="93" t="s">
        <v>1562</v>
      </c>
      <c r="AW9" s="93" t="s">
        <v>1562</v>
      </c>
      <c r="AX9" s="93" t="s">
        <v>1562</v>
      </c>
      <c r="AY9" s="93" t="s">
        <v>1562</v>
      </c>
      <c r="AZ9" s="93" t="s">
        <v>1562</v>
      </c>
      <c r="BA9" s="93" t="s">
        <v>1562</v>
      </c>
      <c r="BB9" s="93" t="s">
        <v>1562</v>
      </c>
      <c r="BC9" s="93" t="s">
        <v>1562</v>
      </c>
    </row>
    <row r="10" spans="1:55">
      <c r="A10" s="15" t="s">
        <v>226</v>
      </c>
      <c r="B10" s="34" t="s">
        <v>2001</v>
      </c>
      <c r="C10" s="15" t="s">
        <v>2002</v>
      </c>
      <c r="D10" s="15"/>
      <c r="E10" s="28" t="s">
        <v>1420</v>
      </c>
      <c r="F10" s="29" t="s">
        <v>2003</v>
      </c>
      <c r="G10" s="30"/>
      <c r="H10" s="30"/>
      <c r="I10" s="30"/>
      <c r="J10" s="30"/>
      <c r="K10" s="30"/>
      <c r="L10" s="30"/>
      <c r="M10" s="30"/>
      <c r="N10" s="30"/>
      <c r="O10" s="30"/>
      <c r="P10" s="30"/>
      <c r="Q10" s="30"/>
      <c r="R10" s="30"/>
      <c r="S10" s="30"/>
      <c r="T10" s="30"/>
      <c r="U10" s="30"/>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row>
    <row r="11" spans="1:55">
      <c r="A11" s="15" t="s">
        <v>331</v>
      </c>
      <c r="B11" s="34" t="s">
        <v>2004</v>
      </c>
      <c r="C11" s="15" t="s">
        <v>2005</v>
      </c>
      <c r="D11" s="15" t="s">
        <v>2006</v>
      </c>
      <c r="E11" s="28" t="s">
        <v>1420</v>
      </c>
      <c r="F11" s="29" t="s">
        <v>2007</v>
      </c>
      <c r="G11" s="30"/>
      <c r="H11" s="30"/>
      <c r="I11" s="30"/>
      <c r="J11" s="30"/>
      <c r="K11" s="30"/>
      <c r="L11" s="30"/>
      <c r="M11" s="30"/>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row>
    <row r="12" spans="1:55">
      <c r="A12" s="15" t="s">
        <v>331</v>
      </c>
      <c r="B12" s="15" t="s">
        <v>1119</v>
      </c>
      <c r="C12" s="15" t="s">
        <v>2008</v>
      </c>
      <c r="D12" s="15" t="s">
        <v>2009</v>
      </c>
      <c r="E12" s="28" t="s">
        <v>362</v>
      </c>
      <c r="F12" s="29" t="s">
        <v>2010</v>
      </c>
      <c r="G12" s="30"/>
      <c r="H12" s="30"/>
      <c r="I12" s="30"/>
      <c r="J12" s="30"/>
      <c r="K12" s="30"/>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row>
    <row r="13" spans="1:55">
      <c r="A13" s="15" t="s">
        <v>226</v>
      </c>
      <c r="B13" s="15" t="s">
        <v>2011</v>
      </c>
      <c r="C13" s="15" t="s">
        <v>2012</v>
      </c>
      <c r="D13" s="15" t="s">
        <v>2013</v>
      </c>
      <c r="E13" s="28" t="s">
        <v>172</v>
      </c>
      <c r="F13" s="30" t="s">
        <v>352</v>
      </c>
      <c r="G13" s="30"/>
      <c r="H13" s="30"/>
      <c r="I13" s="30"/>
      <c r="J13" s="30"/>
      <c r="K13" s="30"/>
      <c r="L13" s="30"/>
      <c r="M13" s="30"/>
      <c r="N13" s="30"/>
      <c r="O13" s="30"/>
      <c r="P13" s="30"/>
      <c r="Q13" s="30"/>
      <c r="R13" s="30"/>
      <c r="S13" s="30"/>
      <c r="T13" s="30"/>
      <c r="U13" s="30"/>
      <c r="V13" s="30"/>
      <c r="W13" s="30"/>
      <c r="X13" s="30"/>
      <c r="Y13" s="30"/>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row>
    <row r="14" spans="1:55">
      <c r="A14" s="15" t="s">
        <v>331</v>
      </c>
      <c r="B14" s="15" t="s">
        <v>2014</v>
      </c>
      <c r="C14" s="15" t="s">
        <v>2015</v>
      </c>
      <c r="D14" s="15" t="s">
        <v>2016</v>
      </c>
      <c r="E14" s="28" t="s">
        <v>1972</v>
      </c>
      <c r="F14" s="29" t="s">
        <v>1973</v>
      </c>
      <c r="G14" s="30"/>
      <c r="H14" s="30"/>
      <c r="I14" s="30"/>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row>
    <row r="15" spans="1:55">
      <c r="A15" s="15" t="s">
        <v>331</v>
      </c>
      <c r="B15" s="15" t="s">
        <v>2017</v>
      </c>
      <c r="C15" s="15" t="s">
        <v>2018</v>
      </c>
      <c r="D15" s="15" t="s">
        <v>2019</v>
      </c>
      <c r="E15" s="28" t="s">
        <v>2020</v>
      </c>
      <c r="F15" s="29" t="s">
        <v>2021</v>
      </c>
      <c r="G15" s="30"/>
      <c r="H15" s="30"/>
      <c r="I15" s="30"/>
      <c r="J15" s="30"/>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row>
    <row r="16" spans="1:55">
      <c r="A16" s="15" t="s">
        <v>331</v>
      </c>
      <c r="B16" s="15" t="s">
        <v>2022</v>
      </c>
      <c r="C16" s="15" t="s">
        <v>833</v>
      </c>
      <c r="D16" s="15" t="s">
        <v>2023</v>
      </c>
      <c r="E16" s="28" t="s">
        <v>834</v>
      </c>
      <c r="F16" s="29" t="s">
        <v>835</v>
      </c>
      <c r="G16" s="30"/>
      <c r="H16" s="30"/>
      <c r="I16" s="30"/>
      <c r="J16" s="30"/>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row>
    <row r="17" spans="1:55">
      <c r="A17" s="15" t="s">
        <v>331</v>
      </c>
      <c r="B17" s="15" t="s">
        <v>2024</v>
      </c>
      <c r="C17" s="15" t="s">
        <v>361</v>
      </c>
      <c r="D17" s="15" t="s">
        <v>2025</v>
      </c>
      <c r="E17" s="28" t="s">
        <v>362</v>
      </c>
      <c r="F17" s="29" t="s">
        <v>192</v>
      </c>
      <c r="G17" s="30"/>
      <c r="H17" s="30"/>
      <c r="I17" s="30"/>
      <c r="J17" s="30"/>
      <c r="K17" s="30"/>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row>
    <row r="18" spans="1:55">
      <c r="A18" s="15" t="s">
        <v>226</v>
      </c>
      <c r="B18" s="15" t="s">
        <v>2026</v>
      </c>
      <c r="C18" s="15" t="s">
        <v>2027</v>
      </c>
      <c r="D18" s="15"/>
      <c r="E18" s="28" t="s">
        <v>368</v>
      </c>
      <c r="F18" s="30" t="s">
        <v>370</v>
      </c>
      <c r="G18" s="30"/>
      <c r="H18" s="30"/>
      <c r="I18" s="30"/>
      <c r="J18" s="30"/>
      <c r="K18" s="30"/>
      <c r="L18" s="30"/>
      <c r="M18" s="30"/>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row>
    <row r="19" spans="1:55">
      <c r="A19" s="15" t="s">
        <v>226</v>
      </c>
      <c r="B19" s="15" t="s">
        <v>2028</v>
      </c>
      <c r="C19" s="15" t="s">
        <v>2029</v>
      </c>
      <c r="D19" s="15"/>
      <c r="E19" s="28" t="s">
        <v>2030</v>
      </c>
      <c r="F19" s="29" t="s">
        <v>2031</v>
      </c>
      <c r="G19" s="30"/>
      <c r="H19" s="30"/>
      <c r="I19" s="30"/>
      <c r="J19" s="30"/>
      <c r="K19" s="30"/>
      <c r="L19" s="30"/>
      <c r="M19" s="30"/>
      <c r="N19" s="30"/>
      <c r="O19" s="30"/>
      <c r="P19" s="30"/>
      <c r="Q19" s="30"/>
      <c r="R19" s="30"/>
      <c r="S19" s="30"/>
      <c r="T19" s="30"/>
      <c r="U19" s="30"/>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row>
    <row r="20" spans="1:55">
      <c r="A20" s="15" t="s">
        <v>331</v>
      </c>
      <c r="B20" s="15" t="s">
        <v>2032</v>
      </c>
      <c r="C20" s="15" t="s">
        <v>2033</v>
      </c>
      <c r="D20" s="15" t="s">
        <v>2034</v>
      </c>
      <c r="E20" s="28" t="s">
        <v>2035</v>
      </c>
      <c r="F20" s="29" t="s">
        <v>201</v>
      </c>
      <c r="G20" s="30"/>
      <c r="H20" s="30"/>
      <c r="I20" s="30"/>
      <c r="J20" s="30"/>
      <c r="K20" s="30"/>
      <c r="L20" s="30"/>
      <c r="M20" s="30"/>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row>
    <row r="21" spans="1:55">
      <c r="A21" s="15" t="s">
        <v>226</v>
      </c>
      <c r="B21" s="15" t="s">
        <v>2036</v>
      </c>
      <c r="C21" s="15" t="s">
        <v>2037</v>
      </c>
      <c r="D21" s="15"/>
      <c r="E21" s="28" t="s">
        <v>397</v>
      </c>
      <c r="F21" s="30" t="s">
        <v>2038</v>
      </c>
      <c r="G21" s="30"/>
      <c r="H21" s="30"/>
      <c r="I21" s="30"/>
      <c r="J21" s="30"/>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row>
    <row r="22" spans="1:55">
      <c r="A22" s="93" t="s">
        <v>331</v>
      </c>
      <c r="B22" s="34" t="s">
        <v>1844</v>
      </c>
      <c r="C22" s="93" t="s">
        <v>2039</v>
      </c>
      <c r="D22" s="93" t="s">
        <v>2040</v>
      </c>
      <c r="E22" s="31" t="s">
        <v>2041</v>
      </c>
      <c r="F22" s="32" t="s">
        <v>2042</v>
      </c>
      <c r="G22" s="33"/>
      <c r="H22" s="33"/>
      <c r="I22" s="33"/>
      <c r="J22" s="33"/>
      <c r="K22" s="93" t="s">
        <v>1562</v>
      </c>
      <c r="L22" s="93" t="s">
        <v>1562</v>
      </c>
      <c r="M22" s="93" t="s">
        <v>1562</v>
      </c>
      <c r="N22" s="93" t="s">
        <v>1562</v>
      </c>
      <c r="O22" s="93" t="s">
        <v>1562</v>
      </c>
      <c r="P22" s="93" t="s">
        <v>1562</v>
      </c>
      <c r="Q22" s="93" t="s">
        <v>1562</v>
      </c>
      <c r="R22" s="93" t="s">
        <v>1562</v>
      </c>
      <c r="S22" s="93" t="s">
        <v>1562</v>
      </c>
      <c r="T22" s="93" t="s">
        <v>1562</v>
      </c>
      <c r="U22" s="93" t="s">
        <v>1562</v>
      </c>
      <c r="V22" s="93" t="s">
        <v>1562</v>
      </c>
      <c r="W22" s="93" t="s">
        <v>1562</v>
      </c>
      <c r="X22" s="93" t="s">
        <v>1562</v>
      </c>
      <c r="Y22" s="93" t="s">
        <v>1562</v>
      </c>
      <c r="Z22" s="93" t="s">
        <v>1562</v>
      </c>
      <c r="AA22" s="93" t="s">
        <v>1562</v>
      </c>
      <c r="AB22" s="93" t="s">
        <v>1562</v>
      </c>
      <c r="AC22" s="93" t="s">
        <v>1562</v>
      </c>
      <c r="AD22" s="93" t="s">
        <v>1562</v>
      </c>
      <c r="AE22" s="93" t="s">
        <v>1562</v>
      </c>
      <c r="AF22" s="93" t="s">
        <v>1562</v>
      </c>
      <c r="AG22" s="93" t="s">
        <v>1562</v>
      </c>
      <c r="AH22" s="93" t="s">
        <v>1562</v>
      </c>
      <c r="AI22" s="93" t="s">
        <v>1562</v>
      </c>
      <c r="AJ22" s="93" t="s">
        <v>1562</v>
      </c>
      <c r="AK22" s="93" t="s">
        <v>1562</v>
      </c>
      <c r="AL22" s="93" t="s">
        <v>1562</v>
      </c>
      <c r="AM22" s="93" t="s">
        <v>1562</v>
      </c>
      <c r="AN22" s="93" t="s">
        <v>1562</v>
      </c>
      <c r="AO22" s="93" t="s">
        <v>1562</v>
      </c>
      <c r="AP22" s="93" t="s">
        <v>1562</v>
      </c>
      <c r="AQ22" s="93" t="s">
        <v>1562</v>
      </c>
      <c r="AR22" s="93" t="s">
        <v>1562</v>
      </c>
      <c r="AS22" s="93" t="s">
        <v>1562</v>
      </c>
      <c r="AT22" s="93" t="s">
        <v>1562</v>
      </c>
      <c r="AU22" s="93" t="s">
        <v>1562</v>
      </c>
      <c r="AV22" s="93" t="s">
        <v>1562</v>
      </c>
      <c r="AW22" s="93" t="s">
        <v>1562</v>
      </c>
      <c r="AX22" s="93" t="s">
        <v>1562</v>
      </c>
      <c r="AY22" s="93" t="s">
        <v>1562</v>
      </c>
      <c r="AZ22" s="93" t="s">
        <v>1562</v>
      </c>
      <c r="BA22" s="93" t="s">
        <v>1562</v>
      </c>
      <c r="BB22" s="93" t="s">
        <v>1562</v>
      </c>
      <c r="BC22" s="93" t="s">
        <v>1562</v>
      </c>
    </row>
    <row r="23" spans="1:55">
      <c r="A23" s="93" t="s">
        <v>226</v>
      </c>
      <c r="B23" s="34" t="s">
        <v>2043</v>
      </c>
      <c r="C23" s="93" t="s">
        <v>2044</v>
      </c>
      <c r="D23" s="93" t="s">
        <v>1562</v>
      </c>
      <c r="E23" s="31" t="s">
        <v>2041</v>
      </c>
      <c r="F23" s="32" t="s">
        <v>2045</v>
      </c>
      <c r="G23" s="33"/>
      <c r="H23" s="33"/>
      <c r="I23" s="33"/>
      <c r="J23" s="33"/>
      <c r="K23" s="33"/>
      <c r="L23" s="33"/>
      <c r="M23" s="33"/>
      <c r="N23" s="33"/>
      <c r="O23" s="33"/>
      <c r="P23" s="33"/>
      <c r="Q23" s="33"/>
      <c r="R23" s="33"/>
      <c r="S23" s="33"/>
      <c r="T23" s="33"/>
      <c r="U23" s="33"/>
      <c r="V23" s="93" t="s">
        <v>1562</v>
      </c>
      <c r="W23" s="93" t="s">
        <v>1562</v>
      </c>
      <c r="X23" s="93" t="s">
        <v>1562</v>
      </c>
      <c r="Y23" s="93" t="s">
        <v>1562</v>
      </c>
      <c r="Z23" s="93" t="s">
        <v>1562</v>
      </c>
      <c r="AA23" s="93" t="s">
        <v>1562</v>
      </c>
      <c r="AB23" s="93" t="s">
        <v>1562</v>
      </c>
      <c r="AC23" s="93" t="s">
        <v>1562</v>
      </c>
      <c r="AD23" s="93" t="s">
        <v>1562</v>
      </c>
      <c r="AE23" s="93" t="s">
        <v>1562</v>
      </c>
      <c r="AF23" s="93" t="s">
        <v>1562</v>
      </c>
      <c r="AG23" s="93" t="s">
        <v>1562</v>
      </c>
      <c r="AH23" s="93" t="s">
        <v>1562</v>
      </c>
      <c r="AI23" s="93" t="s">
        <v>1562</v>
      </c>
      <c r="AJ23" s="93" t="s">
        <v>1562</v>
      </c>
      <c r="AK23" s="93" t="s">
        <v>1562</v>
      </c>
      <c r="AL23" s="93" t="s">
        <v>1562</v>
      </c>
      <c r="AM23" s="93" t="s">
        <v>1562</v>
      </c>
      <c r="AN23" s="93" t="s">
        <v>1562</v>
      </c>
      <c r="AO23" s="93" t="s">
        <v>1562</v>
      </c>
      <c r="AP23" s="93" t="s">
        <v>1562</v>
      </c>
      <c r="AQ23" s="93" t="s">
        <v>1562</v>
      </c>
      <c r="AR23" s="93" t="s">
        <v>1562</v>
      </c>
      <c r="AS23" s="93" t="s">
        <v>1562</v>
      </c>
      <c r="AT23" s="93" t="s">
        <v>1562</v>
      </c>
      <c r="AU23" s="93" t="s">
        <v>1562</v>
      </c>
      <c r="AV23" s="93" t="s">
        <v>1562</v>
      </c>
      <c r="AW23" s="93" t="s">
        <v>1562</v>
      </c>
      <c r="AX23" s="93" t="s">
        <v>1562</v>
      </c>
      <c r="AY23" s="93" t="s">
        <v>1562</v>
      </c>
      <c r="AZ23" s="93" t="s">
        <v>1562</v>
      </c>
      <c r="BA23" s="93" t="s">
        <v>1562</v>
      </c>
      <c r="BB23" s="93" t="s">
        <v>1562</v>
      </c>
      <c r="BC23" s="93" t="s">
        <v>1562</v>
      </c>
    </row>
    <row r="24" spans="1:55">
      <c r="A24" s="15" t="s">
        <v>331</v>
      </c>
      <c r="B24" s="15" t="s">
        <v>1036</v>
      </c>
      <c r="C24" s="15" t="s">
        <v>207</v>
      </c>
      <c r="D24" s="15" t="s">
        <v>2046</v>
      </c>
      <c r="E24" s="28" t="s">
        <v>208</v>
      </c>
      <c r="F24" s="29" t="s">
        <v>210</v>
      </c>
      <c r="G24" s="30"/>
      <c r="H24" s="30"/>
      <c r="I24" s="30"/>
      <c r="J24" s="30"/>
      <c r="K24" s="30"/>
      <c r="L24" s="30"/>
      <c r="M24" s="30"/>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row>
    <row r="25" spans="1:55">
      <c r="A25" s="15" t="s">
        <v>226</v>
      </c>
      <c r="B25" s="15" t="s">
        <v>1859</v>
      </c>
      <c r="C25" s="15" t="s">
        <v>2047</v>
      </c>
      <c r="D25" s="15"/>
      <c r="E25" s="28" t="s">
        <v>376</v>
      </c>
      <c r="F25" s="29" t="s">
        <v>2048</v>
      </c>
      <c r="G25" s="30"/>
      <c r="H25" s="30"/>
      <c r="I25" s="30"/>
      <c r="J25" s="30"/>
      <c r="K25" s="30"/>
      <c r="L25" s="30"/>
      <c r="M25" s="30"/>
      <c r="N25" s="30"/>
      <c r="O25" s="30"/>
      <c r="P25" s="30"/>
      <c r="Q25" s="30"/>
      <c r="R25" s="30"/>
      <c r="S25" s="30"/>
      <c r="T25" s="30"/>
      <c r="U25" s="30"/>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row>
    <row r="26" spans="1:55">
      <c r="A26" s="94" t="s">
        <v>226</v>
      </c>
      <c r="B26" s="94" t="s">
        <v>2049</v>
      </c>
      <c r="C26" s="94" t="s">
        <v>2050</v>
      </c>
      <c r="D26" s="94"/>
      <c r="E26" s="35" t="s">
        <v>2020</v>
      </c>
      <c r="F26" s="36" t="s">
        <v>2051</v>
      </c>
      <c r="G26" s="37"/>
      <c r="H26" s="37"/>
      <c r="I26" s="37"/>
      <c r="J26" s="37"/>
      <c r="K26" s="37"/>
      <c r="L26" s="37"/>
      <c r="M26" s="37"/>
      <c r="N26" s="37"/>
      <c r="O26" s="37"/>
      <c r="P26" s="37"/>
      <c r="Q26" s="37"/>
      <c r="R26" s="37"/>
      <c r="S26" s="37"/>
      <c r="T26" s="37"/>
      <c r="U26" s="37"/>
      <c r="V26" s="37"/>
      <c r="W26" s="94" t="s">
        <v>1562</v>
      </c>
      <c r="X26" s="94" t="s">
        <v>1562</v>
      </c>
      <c r="Y26" s="94" t="s">
        <v>1562</v>
      </c>
      <c r="Z26" s="94" t="s">
        <v>1562</v>
      </c>
      <c r="AA26" s="94" t="s">
        <v>1562</v>
      </c>
      <c r="AB26" s="94" t="s">
        <v>1562</v>
      </c>
      <c r="AC26" s="94" t="s">
        <v>1562</v>
      </c>
      <c r="AD26" s="94" t="s">
        <v>1562</v>
      </c>
      <c r="AE26" s="94" t="s">
        <v>1562</v>
      </c>
      <c r="AF26" s="94" t="s">
        <v>1562</v>
      </c>
      <c r="AG26" s="94" t="s">
        <v>1562</v>
      </c>
      <c r="AH26" s="94" t="s">
        <v>1562</v>
      </c>
      <c r="AI26" s="94" t="s">
        <v>1562</v>
      </c>
      <c r="AJ26" s="94" t="s">
        <v>1562</v>
      </c>
      <c r="AK26" s="94" t="s">
        <v>1562</v>
      </c>
      <c r="AL26" s="94" t="s">
        <v>1562</v>
      </c>
      <c r="AM26" s="94" t="s">
        <v>1562</v>
      </c>
      <c r="AN26" s="94" t="s">
        <v>1562</v>
      </c>
      <c r="AO26" s="94" t="s">
        <v>1562</v>
      </c>
      <c r="AP26" s="94" t="s">
        <v>1562</v>
      </c>
      <c r="AQ26" s="94" t="s">
        <v>1562</v>
      </c>
      <c r="AR26" s="94" t="s">
        <v>1562</v>
      </c>
      <c r="AS26" s="94" t="s">
        <v>1562</v>
      </c>
      <c r="AT26" s="94" t="s">
        <v>1562</v>
      </c>
      <c r="AU26" s="94" t="s">
        <v>1562</v>
      </c>
      <c r="AV26" s="94" t="s">
        <v>1562</v>
      </c>
      <c r="AW26" s="94" t="s">
        <v>1562</v>
      </c>
      <c r="AX26" s="94" t="s">
        <v>1562</v>
      </c>
      <c r="AY26" s="94" t="s">
        <v>1562</v>
      </c>
      <c r="AZ26" s="94" t="s">
        <v>1562</v>
      </c>
      <c r="BA26" s="94" t="s">
        <v>1562</v>
      </c>
      <c r="BB26" s="94" t="s">
        <v>1562</v>
      </c>
      <c r="BC26" s="94" t="s">
        <v>1562</v>
      </c>
    </row>
    <row r="27" spans="1:55">
      <c r="A27" s="94" t="s">
        <v>226</v>
      </c>
      <c r="B27" s="94" t="s">
        <v>2052</v>
      </c>
      <c r="C27" s="94" t="s">
        <v>2053</v>
      </c>
      <c r="D27" s="94"/>
      <c r="E27" s="35" t="s">
        <v>229</v>
      </c>
      <c r="F27" s="36" t="s">
        <v>2054</v>
      </c>
      <c r="G27" s="37"/>
      <c r="H27" s="37"/>
      <c r="I27" s="37"/>
      <c r="J27" s="37"/>
      <c r="K27" s="37"/>
      <c r="L27" s="37"/>
      <c r="M27" s="37"/>
      <c r="N27" s="37"/>
      <c r="O27" s="37"/>
      <c r="P27" s="37"/>
      <c r="Q27" s="37"/>
      <c r="R27" s="37"/>
      <c r="S27" s="37"/>
      <c r="T27" s="37"/>
      <c r="U27" s="37"/>
      <c r="V27" s="94" t="s">
        <v>1562</v>
      </c>
      <c r="W27" s="94" t="s">
        <v>1562</v>
      </c>
      <c r="X27" s="94" t="s">
        <v>1562</v>
      </c>
      <c r="Y27" s="94" t="s">
        <v>1562</v>
      </c>
      <c r="Z27" s="94" t="s">
        <v>1562</v>
      </c>
      <c r="AA27" s="94" t="s">
        <v>1562</v>
      </c>
      <c r="AB27" s="94" t="s">
        <v>1562</v>
      </c>
      <c r="AC27" s="94" t="s">
        <v>1562</v>
      </c>
      <c r="AD27" s="94" t="s">
        <v>1562</v>
      </c>
      <c r="AE27" s="94" t="s">
        <v>1562</v>
      </c>
      <c r="AF27" s="94" t="s">
        <v>1562</v>
      </c>
      <c r="AG27" s="94" t="s">
        <v>1562</v>
      </c>
      <c r="AH27" s="94" t="s">
        <v>1562</v>
      </c>
      <c r="AI27" s="94" t="s">
        <v>1562</v>
      </c>
      <c r="AJ27" s="94" t="s">
        <v>1562</v>
      </c>
      <c r="AK27" s="94" t="s">
        <v>1562</v>
      </c>
      <c r="AL27" s="94" t="s">
        <v>1562</v>
      </c>
      <c r="AM27" s="94" t="s">
        <v>1562</v>
      </c>
      <c r="AN27" s="94" t="s">
        <v>1562</v>
      </c>
      <c r="AO27" s="94" t="s">
        <v>1562</v>
      </c>
      <c r="AP27" s="94" t="s">
        <v>1562</v>
      </c>
      <c r="AQ27" s="94" t="s">
        <v>1562</v>
      </c>
      <c r="AR27" s="94" t="s">
        <v>1562</v>
      </c>
      <c r="AS27" s="94" t="s">
        <v>1562</v>
      </c>
      <c r="AT27" s="94" t="s">
        <v>1562</v>
      </c>
      <c r="AU27" s="94" t="s">
        <v>1562</v>
      </c>
      <c r="AV27" s="94" t="s">
        <v>1562</v>
      </c>
      <c r="AW27" s="94" t="s">
        <v>1562</v>
      </c>
      <c r="AX27" s="94" t="s">
        <v>1562</v>
      </c>
      <c r="AY27" s="94" t="s">
        <v>1562</v>
      </c>
      <c r="AZ27" s="94" t="s">
        <v>1562</v>
      </c>
      <c r="BA27" s="94" t="s">
        <v>1562</v>
      </c>
      <c r="BB27" s="94" t="s">
        <v>1562</v>
      </c>
      <c r="BC27" s="94" t="s">
        <v>1562</v>
      </c>
    </row>
    <row r="28" spans="1:55">
      <c r="A28" s="15" t="s">
        <v>226</v>
      </c>
      <c r="B28" s="15" t="s">
        <v>2055</v>
      </c>
      <c r="C28" s="15" t="s">
        <v>2056</v>
      </c>
      <c r="D28" s="15"/>
      <c r="E28" s="28" t="s">
        <v>322</v>
      </c>
      <c r="F28" s="29" t="s">
        <v>2057</v>
      </c>
      <c r="G28" s="30"/>
      <c r="H28" s="30"/>
      <c r="I28" s="30"/>
      <c r="J28" s="30"/>
      <c r="K28" s="30"/>
      <c r="L28" s="30"/>
      <c r="M28" s="30"/>
      <c r="N28" s="30"/>
      <c r="O28" s="30"/>
      <c r="P28" s="30"/>
      <c r="Q28" s="30"/>
      <c r="R28" s="30"/>
      <c r="S28" s="30"/>
      <c r="T28" s="30"/>
      <c r="U28" s="30"/>
      <c r="V28" s="30"/>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row>
    <row r="29" spans="1:55">
      <c r="A29" s="15" t="s">
        <v>331</v>
      </c>
      <c r="B29" s="34" t="s">
        <v>1127</v>
      </c>
      <c r="C29" s="15" t="s">
        <v>332</v>
      </c>
      <c r="D29" s="15" t="s">
        <v>2058</v>
      </c>
      <c r="E29" s="28" t="s">
        <v>76</v>
      </c>
      <c r="F29" s="29" t="s">
        <v>334</v>
      </c>
      <c r="G29" s="30"/>
      <c r="H29" s="30"/>
      <c r="I29" s="30"/>
      <c r="J29" s="30"/>
      <c r="K29" s="30"/>
      <c r="L29" s="30"/>
      <c r="M29" s="30"/>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row>
    <row r="30" spans="1:55">
      <c r="A30" s="15" t="s">
        <v>226</v>
      </c>
      <c r="B30" s="34" t="s">
        <v>2059</v>
      </c>
      <c r="C30" s="15" t="s">
        <v>1113</v>
      </c>
      <c r="D30" s="15"/>
      <c r="E30" s="28" t="s">
        <v>76</v>
      </c>
      <c r="F30" s="29" t="s">
        <v>1118</v>
      </c>
      <c r="G30" s="30"/>
      <c r="H30" s="30"/>
      <c r="I30" s="30"/>
      <c r="J30" s="30"/>
      <c r="K30" s="30"/>
      <c r="L30" s="30"/>
      <c r="M30" s="30"/>
      <c r="N30" s="30"/>
      <c r="O30" s="30"/>
      <c r="P30" s="30"/>
      <c r="Q30" s="30"/>
      <c r="R30" s="30"/>
      <c r="S30" s="30"/>
      <c r="T30" s="30"/>
      <c r="U30" s="30"/>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row>
    <row r="31" spans="1:55">
      <c r="A31" s="94" t="s">
        <v>226</v>
      </c>
      <c r="B31" s="94" t="s">
        <v>2060</v>
      </c>
      <c r="C31" s="94" t="s">
        <v>2061</v>
      </c>
      <c r="D31" s="94"/>
      <c r="E31" s="35" t="s">
        <v>580</v>
      </c>
      <c r="F31" s="36" t="s">
        <v>2062</v>
      </c>
      <c r="G31" s="37"/>
      <c r="H31" s="37"/>
      <c r="I31" s="37"/>
      <c r="J31" s="37"/>
      <c r="K31" s="37"/>
      <c r="L31" s="37"/>
      <c r="M31" s="37"/>
      <c r="N31" s="37"/>
      <c r="O31" s="37"/>
      <c r="P31" s="37"/>
      <c r="Q31" s="37"/>
      <c r="R31" s="37"/>
      <c r="S31" s="37"/>
      <c r="T31" s="37"/>
      <c r="U31" s="37"/>
      <c r="V31" s="37"/>
      <c r="W31" s="94" t="s">
        <v>1562</v>
      </c>
      <c r="X31" s="94" t="s">
        <v>1562</v>
      </c>
      <c r="Y31" s="94" t="s">
        <v>1562</v>
      </c>
      <c r="Z31" s="94" t="s">
        <v>1562</v>
      </c>
      <c r="AA31" s="94" t="s">
        <v>1562</v>
      </c>
      <c r="AB31" s="94" t="s">
        <v>1562</v>
      </c>
      <c r="AC31" s="94" t="s">
        <v>1562</v>
      </c>
      <c r="AD31" s="94" t="s">
        <v>1562</v>
      </c>
      <c r="AE31" s="94" t="s">
        <v>1562</v>
      </c>
      <c r="AF31" s="94" t="s">
        <v>1562</v>
      </c>
      <c r="AG31" s="94" t="s">
        <v>1562</v>
      </c>
      <c r="AH31" s="94" t="s">
        <v>1562</v>
      </c>
      <c r="AI31" s="94" t="s">
        <v>1562</v>
      </c>
      <c r="AJ31" s="94" t="s">
        <v>1562</v>
      </c>
      <c r="AK31" s="94" t="s">
        <v>1562</v>
      </c>
      <c r="AL31" s="94" t="s">
        <v>1562</v>
      </c>
      <c r="AM31" s="94" t="s">
        <v>1562</v>
      </c>
      <c r="AN31" s="94" t="s">
        <v>1562</v>
      </c>
      <c r="AO31" s="94" t="s">
        <v>1562</v>
      </c>
      <c r="AP31" s="94" t="s">
        <v>1562</v>
      </c>
      <c r="AQ31" s="94" t="s">
        <v>1562</v>
      </c>
      <c r="AR31" s="94" t="s">
        <v>1562</v>
      </c>
      <c r="AS31" s="94" t="s">
        <v>1562</v>
      </c>
      <c r="AT31" s="94" t="s">
        <v>1562</v>
      </c>
      <c r="AU31" s="94" t="s">
        <v>1562</v>
      </c>
      <c r="AV31" s="94" t="s">
        <v>1562</v>
      </c>
      <c r="AW31" s="94" t="s">
        <v>1562</v>
      </c>
      <c r="AX31" s="94" t="s">
        <v>1562</v>
      </c>
      <c r="AY31" s="94" t="s">
        <v>1562</v>
      </c>
      <c r="AZ31" s="94" t="s">
        <v>1562</v>
      </c>
      <c r="BA31" s="94" t="s">
        <v>1562</v>
      </c>
      <c r="BB31" s="94" t="s">
        <v>1562</v>
      </c>
      <c r="BC31" s="94" t="s">
        <v>1562</v>
      </c>
    </row>
    <row r="32" spans="1:55">
      <c r="A32" s="15" t="s">
        <v>331</v>
      </c>
      <c r="B32" s="15" t="s">
        <v>1125</v>
      </c>
      <c r="C32" s="15" t="s">
        <v>840</v>
      </c>
      <c r="D32" s="15" t="s">
        <v>2063</v>
      </c>
      <c r="E32" s="28" t="s">
        <v>151</v>
      </c>
      <c r="F32" s="29" t="s">
        <v>153</v>
      </c>
      <c r="G32" s="30"/>
      <c r="H32" s="30"/>
      <c r="I32" s="30"/>
      <c r="J32" s="30"/>
      <c r="K32" s="30"/>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row>
    <row r="33" spans="1:55">
      <c r="A33" s="15" t="s">
        <v>331</v>
      </c>
      <c r="B33" s="15" t="s">
        <v>1012</v>
      </c>
      <c r="C33" s="15" t="s">
        <v>449</v>
      </c>
      <c r="D33" s="15" t="s">
        <v>2064</v>
      </c>
      <c r="E33" s="28" t="s">
        <v>450</v>
      </c>
      <c r="F33" s="29" t="s">
        <v>452</v>
      </c>
      <c r="G33" s="30"/>
      <c r="H33" s="30"/>
      <c r="I33" s="30"/>
      <c r="J33" s="30"/>
      <c r="K33" s="30"/>
      <c r="L33" s="30"/>
      <c r="M33" s="30"/>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row>
    <row r="34" spans="1:55">
      <c r="A34" s="95" t="s">
        <v>331</v>
      </c>
      <c r="B34" s="95" t="s">
        <v>2065</v>
      </c>
      <c r="C34" s="95" t="s">
        <v>2066</v>
      </c>
      <c r="D34" s="95" t="s">
        <v>2067</v>
      </c>
      <c r="E34" s="38" t="s">
        <v>55</v>
      </c>
      <c r="F34" s="39" t="s">
        <v>2068</v>
      </c>
      <c r="G34" s="40"/>
      <c r="H34" s="40"/>
      <c r="I34" s="40"/>
      <c r="J34" s="40"/>
      <c r="K34" s="40"/>
      <c r="L34" s="40"/>
      <c r="M34" s="95" t="s">
        <v>1562</v>
      </c>
      <c r="N34" s="95" t="s">
        <v>1562</v>
      </c>
      <c r="O34" s="95" t="s">
        <v>1562</v>
      </c>
      <c r="P34" s="95" t="s">
        <v>1562</v>
      </c>
      <c r="Q34" s="95" t="s">
        <v>1562</v>
      </c>
      <c r="R34" s="95" t="s">
        <v>1562</v>
      </c>
      <c r="S34" s="95" t="s">
        <v>1562</v>
      </c>
      <c r="T34" s="95" t="s">
        <v>1562</v>
      </c>
      <c r="U34" s="95" t="s">
        <v>1562</v>
      </c>
      <c r="V34" s="95" t="s">
        <v>1562</v>
      </c>
      <c r="W34" s="95" t="s">
        <v>1562</v>
      </c>
      <c r="X34" s="95" t="s">
        <v>1562</v>
      </c>
      <c r="Y34" s="95" t="s">
        <v>1562</v>
      </c>
      <c r="Z34" s="95" t="s">
        <v>1562</v>
      </c>
      <c r="AA34" s="95" t="s">
        <v>1562</v>
      </c>
      <c r="AB34" s="95" t="s">
        <v>1562</v>
      </c>
      <c r="AC34" s="95" t="s">
        <v>1562</v>
      </c>
      <c r="AD34" s="95" t="s">
        <v>1562</v>
      </c>
      <c r="AE34" s="95" t="s">
        <v>1562</v>
      </c>
      <c r="AF34" s="95" t="s">
        <v>1562</v>
      </c>
      <c r="AG34" s="95" t="s">
        <v>1562</v>
      </c>
      <c r="AH34" s="95" t="s">
        <v>1562</v>
      </c>
      <c r="AI34" s="95" t="s">
        <v>1562</v>
      </c>
      <c r="AJ34" s="95" t="s">
        <v>1562</v>
      </c>
      <c r="AK34" s="95" t="s">
        <v>1562</v>
      </c>
      <c r="AL34" s="95" t="s">
        <v>1562</v>
      </c>
      <c r="AM34" s="95" t="s">
        <v>1562</v>
      </c>
      <c r="AN34" s="95" t="s">
        <v>1562</v>
      </c>
      <c r="AO34" s="95" t="s">
        <v>1562</v>
      </c>
      <c r="AP34" s="95" t="s">
        <v>1562</v>
      </c>
      <c r="AQ34" s="95" t="s">
        <v>1562</v>
      </c>
      <c r="AR34" s="95" t="s">
        <v>1562</v>
      </c>
      <c r="AS34" s="95" t="s">
        <v>1562</v>
      </c>
      <c r="AT34" s="95" t="s">
        <v>1562</v>
      </c>
      <c r="AU34" s="95" t="s">
        <v>1562</v>
      </c>
      <c r="AV34" s="95" t="s">
        <v>1562</v>
      </c>
      <c r="AW34" s="95" t="s">
        <v>1562</v>
      </c>
      <c r="AX34" s="95" t="s">
        <v>1562</v>
      </c>
      <c r="AY34" s="95" t="s">
        <v>1562</v>
      </c>
      <c r="AZ34" s="95" t="s">
        <v>1562</v>
      </c>
      <c r="BA34" s="95" t="s">
        <v>1562</v>
      </c>
      <c r="BB34" s="95" t="s">
        <v>1562</v>
      </c>
      <c r="BC34" s="95" t="s">
        <v>1562</v>
      </c>
    </row>
    <row r="35" spans="1:55">
      <c r="A35" s="15" t="s">
        <v>331</v>
      </c>
      <c r="B35" s="15" t="s">
        <v>2069</v>
      </c>
      <c r="C35" s="15" t="s">
        <v>392</v>
      </c>
      <c r="D35" s="15" t="s">
        <v>2070</v>
      </c>
      <c r="E35" s="28" t="s">
        <v>393</v>
      </c>
      <c r="F35" s="29" t="s">
        <v>394</v>
      </c>
      <c r="G35" s="30"/>
      <c r="H35" s="30"/>
      <c r="I35" s="30"/>
      <c r="J35" s="30"/>
      <c r="K35" s="30"/>
      <c r="L35" s="30"/>
      <c r="M35" s="30"/>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row>
    <row r="36" spans="1:55">
      <c r="A36" s="95" t="s">
        <v>331</v>
      </c>
      <c r="B36" s="95" t="s">
        <v>2071</v>
      </c>
      <c r="C36" s="95" t="s">
        <v>2072</v>
      </c>
      <c r="D36" s="95" t="s">
        <v>2073</v>
      </c>
      <c r="E36" s="38" t="s">
        <v>2074</v>
      </c>
      <c r="F36" s="39" t="s">
        <v>673</v>
      </c>
      <c r="G36" s="40"/>
      <c r="H36" s="40"/>
      <c r="I36" s="40"/>
      <c r="J36" s="40"/>
      <c r="K36" s="40"/>
      <c r="L36" s="95" t="s">
        <v>1562</v>
      </c>
      <c r="M36" s="95" t="s">
        <v>1562</v>
      </c>
      <c r="N36" s="95" t="s">
        <v>1562</v>
      </c>
      <c r="O36" s="95" t="s">
        <v>1562</v>
      </c>
      <c r="P36" s="95" t="s">
        <v>1562</v>
      </c>
      <c r="Q36" s="95" t="s">
        <v>1562</v>
      </c>
      <c r="R36" s="95" t="s">
        <v>1562</v>
      </c>
      <c r="S36" s="95" t="s">
        <v>1562</v>
      </c>
      <c r="T36" s="95" t="s">
        <v>1562</v>
      </c>
      <c r="U36" s="95" t="s">
        <v>1562</v>
      </c>
      <c r="V36" s="95" t="s">
        <v>1562</v>
      </c>
      <c r="W36" s="95" t="s">
        <v>1562</v>
      </c>
      <c r="X36" s="95" t="s">
        <v>1562</v>
      </c>
      <c r="Y36" s="95" t="s">
        <v>1562</v>
      </c>
      <c r="Z36" s="95" t="s">
        <v>1562</v>
      </c>
      <c r="AA36" s="95" t="s">
        <v>1562</v>
      </c>
      <c r="AB36" s="95" t="s">
        <v>1562</v>
      </c>
      <c r="AC36" s="95" t="s">
        <v>1562</v>
      </c>
      <c r="AD36" s="95" t="s">
        <v>1562</v>
      </c>
      <c r="AE36" s="95" t="s">
        <v>1562</v>
      </c>
      <c r="AF36" s="95" t="s">
        <v>1562</v>
      </c>
      <c r="AG36" s="95" t="s">
        <v>1562</v>
      </c>
      <c r="AH36" s="95" t="s">
        <v>1562</v>
      </c>
      <c r="AI36" s="95" t="s">
        <v>1562</v>
      </c>
      <c r="AJ36" s="95" t="s">
        <v>1562</v>
      </c>
      <c r="AK36" s="95" t="s">
        <v>1562</v>
      </c>
      <c r="AL36" s="95" t="s">
        <v>1562</v>
      </c>
      <c r="AM36" s="95" t="s">
        <v>1562</v>
      </c>
      <c r="AN36" s="95" t="s">
        <v>1562</v>
      </c>
      <c r="AO36" s="95" t="s">
        <v>1562</v>
      </c>
      <c r="AP36" s="95" t="s">
        <v>1562</v>
      </c>
      <c r="AQ36" s="95" t="s">
        <v>1562</v>
      </c>
      <c r="AR36" s="95" t="s">
        <v>1562</v>
      </c>
      <c r="AS36" s="95" t="s">
        <v>1562</v>
      </c>
      <c r="AT36" s="95" t="s">
        <v>1562</v>
      </c>
      <c r="AU36" s="95" t="s">
        <v>1562</v>
      </c>
      <c r="AV36" s="95" t="s">
        <v>1562</v>
      </c>
      <c r="AW36" s="95" t="s">
        <v>1562</v>
      </c>
      <c r="AX36" s="95" t="s">
        <v>1562</v>
      </c>
      <c r="AY36" s="95" t="s">
        <v>1562</v>
      </c>
      <c r="AZ36" s="95" t="s">
        <v>1562</v>
      </c>
      <c r="BA36" s="95" t="s">
        <v>1562</v>
      </c>
      <c r="BB36" s="95" t="s">
        <v>1562</v>
      </c>
      <c r="BC36" s="95" t="s">
        <v>1562</v>
      </c>
    </row>
    <row r="37" spans="1:55">
      <c r="A37" s="94" t="s">
        <v>226</v>
      </c>
      <c r="B37" s="94" t="s">
        <v>2075</v>
      </c>
      <c r="C37" s="94" t="s">
        <v>2076</v>
      </c>
      <c r="D37" s="94"/>
      <c r="E37" s="35" t="s">
        <v>2077</v>
      </c>
      <c r="F37" s="36" t="s">
        <v>2078</v>
      </c>
      <c r="G37" s="37"/>
      <c r="H37" s="37"/>
      <c r="I37" s="37"/>
      <c r="J37" s="37"/>
      <c r="K37" s="37"/>
      <c r="L37" s="37"/>
      <c r="M37" s="37"/>
      <c r="N37" s="37"/>
      <c r="O37" s="37"/>
      <c r="P37" s="37"/>
      <c r="Q37" s="37"/>
      <c r="R37" s="37"/>
      <c r="S37" s="37"/>
      <c r="T37" s="37"/>
      <c r="U37" s="37"/>
      <c r="V37" s="37"/>
      <c r="W37" s="94" t="s">
        <v>1562</v>
      </c>
      <c r="X37" s="94" t="s">
        <v>1562</v>
      </c>
      <c r="Y37" s="94" t="s">
        <v>1562</v>
      </c>
      <c r="Z37" s="94" t="s">
        <v>1562</v>
      </c>
      <c r="AA37" s="94" t="s">
        <v>1562</v>
      </c>
      <c r="AB37" s="94" t="s">
        <v>1562</v>
      </c>
      <c r="AC37" s="94" t="s">
        <v>1562</v>
      </c>
      <c r="AD37" s="94" t="s">
        <v>1562</v>
      </c>
      <c r="AE37" s="94" t="s">
        <v>1562</v>
      </c>
      <c r="AF37" s="94" t="s">
        <v>1562</v>
      </c>
      <c r="AG37" s="94" t="s">
        <v>1562</v>
      </c>
      <c r="AH37" s="94" t="s">
        <v>1562</v>
      </c>
      <c r="AI37" s="94" t="s">
        <v>1562</v>
      </c>
      <c r="AJ37" s="94" t="s">
        <v>1562</v>
      </c>
      <c r="AK37" s="94" t="s">
        <v>1562</v>
      </c>
      <c r="AL37" s="94" t="s">
        <v>1562</v>
      </c>
      <c r="AM37" s="94" t="s">
        <v>1562</v>
      </c>
      <c r="AN37" s="94" t="s">
        <v>1562</v>
      </c>
      <c r="AO37" s="94" t="s">
        <v>1562</v>
      </c>
      <c r="AP37" s="94" t="s">
        <v>1562</v>
      </c>
      <c r="AQ37" s="94" t="s">
        <v>1562</v>
      </c>
      <c r="AR37" s="94" t="s">
        <v>1562</v>
      </c>
      <c r="AS37" s="94" t="s">
        <v>1562</v>
      </c>
      <c r="AT37" s="94" t="s">
        <v>1562</v>
      </c>
      <c r="AU37" s="94" t="s">
        <v>1562</v>
      </c>
      <c r="AV37" s="94" t="s">
        <v>1562</v>
      </c>
      <c r="AW37" s="94" t="s">
        <v>1562</v>
      </c>
      <c r="AX37" s="94" t="s">
        <v>1562</v>
      </c>
      <c r="AY37" s="94" t="s">
        <v>1562</v>
      </c>
      <c r="AZ37" s="94" t="s">
        <v>1562</v>
      </c>
      <c r="BA37" s="94" t="s">
        <v>1562</v>
      </c>
      <c r="BB37" s="94" t="s">
        <v>1562</v>
      </c>
      <c r="BC37" s="94" t="s">
        <v>1562</v>
      </c>
    </row>
    <row r="38" spans="1:55">
      <c r="A38" s="15" t="s">
        <v>331</v>
      </c>
      <c r="B38" s="34" t="s">
        <v>1683</v>
      </c>
      <c r="C38" s="15" t="s">
        <v>396</v>
      </c>
      <c r="D38" s="15" t="s">
        <v>2079</v>
      </c>
      <c r="E38" s="28" t="s">
        <v>651</v>
      </c>
      <c r="F38" s="29" t="s">
        <v>164</v>
      </c>
      <c r="G38" s="30"/>
      <c r="H38" s="30"/>
      <c r="I38" s="30"/>
      <c r="J38" s="30"/>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row>
    <row r="39" spans="1:55">
      <c r="A39" s="15" t="s">
        <v>226</v>
      </c>
      <c r="B39" s="34" t="s">
        <v>1683</v>
      </c>
      <c r="C39" s="15" t="s">
        <v>1367</v>
      </c>
      <c r="D39" s="15"/>
      <c r="E39" s="28" t="s">
        <v>397</v>
      </c>
      <c r="F39" s="29" t="s">
        <v>1369</v>
      </c>
      <c r="G39" s="30"/>
      <c r="H39" s="30"/>
      <c r="I39" s="30"/>
      <c r="J39" s="30"/>
      <c r="K39" s="30"/>
      <c r="L39" s="30"/>
      <c r="M39" s="30"/>
      <c r="N39" s="30"/>
      <c r="O39" s="30"/>
      <c r="P39" s="30"/>
      <c r="Q39" s="30"/>
      <c r="R39" s="30"/>
      <c r="S39" s="30"/>
      <c r="T39" s="30"/>
      <c r="U39" s="30"/>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row>
    <row r="40" spans="1:55">
      <c r="A40" s="95" t="s">
        <v>331</v>
      </c>
      <c r="B40" s="95" t="s">
        <v>2080</v>
      </c>
      <c r="C40" s="95" t="s">
        <v>407</v>
      </c>
      <c r="D40" s="95" t="s">
        <v>2081</v>
      </c>
      <c r="E40" s="38" t="s">
        <v>408</v>
      </c>
      <c r="F40" s="39" t="s">
        <v>409</v>
      </c>
      <c r="G40" s="40"/>
      <c r="H40" s="40"/>
      <c r="I40" s="40"/>
      <c r="J40" s="40"/>
      <c r="K40" s="40"/>
      <c r="L40" s="40"/>
      <c r="M40" s="40"/>
      <c r="N40" s="40"/>
      <c r="O40" s="40"/>
      <c r="P40" s="95" t="s">
        <v>1562</v>
      </c>
      <c r="Q40" s="95" t="s">
        <v>1562</v>
      </c>
      <c r="R40" s="95" t="s">
        <v>1562</v>
      </c>
      <c r="S40" s="95" t="s">
        <v>1562</v>
      </c>
      <c r="T40" s="95" t="s">
        <v>1562</v>
      </c>
      <c r="U40" s="95" t="s">
        <v>1562</v>
      </c>
      <c r="V40" s="95" t="s">
        <v>1562</v>
      </c>
      <c r="W40" s="95" t="s">
        <v>1562</v>
      </c>
      <c r="X40" s="95" t="s">
        <v>1562</v>
      </c>
      <c r="Y40" s="95" t="s">
        <v>1562</v>
      </c>
      <c r="Z40" s="95" t="s">
        <v>1562</v>
      </c>
      <c r="AA40" s="95" t="s">
        <v>1562</v>
      </c>
      <c r="AB40" s="95" t="s">
        <v>1562</v>
      </c>
      <c r="AC40" s="95" t="s">
        <v>1562</v>
      </c>
      <c r="AD40" s="95" t="s">
        <v>1562</v>
      </c>
      <c r="AE40" s="95" t="s">
        <v>1562</v>
      </c>
      <c r="AF40" s="95" t="s">
        <v>1562</v>
      </c>
      <c r="AG40" s="95" t="s">
        <v>1562</v>
      </c>
      <c r="AH40" s="95" t="s">
        <v>1562</v>
      </c>
      <c r="AI40" s="95" t="s">
        <v>1562</v>
      </c>
      <c r="AJ40" s="95" t="s">
        <v>1562</v>
      </c>
      <c r="AK40" s="95" t="s">
        <v>1562</v>
      </c>
      <c r="AL40" s="95" t="s">
        <v>1562</v>
      </c>
      <c r="AM40" s="95" t="s">
        <v>1562</v>
      </c>
      <c r="AN40" s="95" t="s">
        <v>1562</v>
      </c>
      <c r="AO40" s="95" t="s">
        <v>1562</v>
      </c>
      <c r="AP40" s="95" t="s">
        <v>1562</v>
      </c>
      <c r="AQ40" s="95" t="s">
        <v>1562</v>
      </c>
      <c r="AR40" s="95" t="s">
        <v>1562</v>
      </c>
      <c r="AS40" s="95" t="s">
        <v>1562</v>
      </c>
      <c r="AT40" s="95" t="s">
        <v>1562</v>
      </c>
      <c r="AU40" s="95" t="s">
        <v>1562</v>
      </c>
      <c r="AV40" s="95" t="s">
        <v>1562</v>
      </c>
      <c r="AW40" s="95" t="s">
        <v>1562</v>
      </c>
      <c r="AX40" s="95" t="s">
        <v>1562</v>
      </c>
      <c r="AY40" s="95" t="s">
        <v>1562</v>
      </c>
      <c r="AZ40" s="95" t="s">
        <v>1562</v>
      </c>
      <c r="BA40" s="95" t="s">
        <v>1562</v>
      </c>
      <c r="BB40" s="95" t="s">
        <v>1562</v>
      </c>
      <c r="BC40" s="95" t="s">
        <v>1562</v>
      </c>
    </row>
    <row r="41" spans="1:55">
      <c r="A41" s="15" t="s">
        <v>226</v>
      </c>
      <c r="B41" s="15" t="s">
        <v>2082</v>
      </c>
      <c r="C41" s="15" t="s">
        <v>2083</v>
      </c>
      <c r="D41" s="15"/>
      <c r="E41" s="28" t="s">
        <v>397</v>
      </c>
      <c r="F41" s="29" t="s">
        <v>2084</v>
      </c>
      <c r="G41" s="30"/>
      <c r="H41" s="30"/>
      <c r="I41" s="30"/>
      <c r="J41" s="30"/>
      <c r="K41" s="30"/>
      <c r="L41" s="30"/>
      <c r="M41" s="30"/>
      <c r="N41" s="30"/>
      <c r="O41" s="30"/>
      <c r="P41" s="30"/>
      <c r="Q41" s="30"/>
      <c r="R41" s="30"/>
      <c r="S41" s="30"/>
      <c r="T41" s="30"/>
      <c r="U41" s="30"/>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row>
    <row r="42" spans="1:55">
      <c r="A42" s="8" t="s">
        <v>226</v>
      </c>
      <c r="B42" s="8" t="s">
        <v>1098</v>
      </c>
      <c r="C42" s="8" t="s">
        <v>1095</v>
      </c>
      <c r="D42" s="8"/>
      <c r="E42" s="41" t="s">
        <v>408</v>
      </c>
      <c r="F42" s="29" t="s">
        <v>495</v>
      </c>
      <c r="G42" s="42"/>
      <c r="H42" s="42"/>
      <c r="I42" s="42"/>
      <c r="J42" s="42"/>
      <c r="K42" s="42"/>
      <c r="L42" s="42"/>
      <c r="M42" s="42"/>
      <c r="N42" s="42"/>
      <c r="O42" s="42"/>
      <c r="P42" s="42"/>
      <c r="Q42" s="42"/>
      <c r="R42" s="42"/>
      <c r="S42" s="42"/>
      <c r="T42" s="42"/>
      <c r="U42" s="42"/>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row>
    <row r="45" spans="1:55">
      <c r="A45" s="8" t="s">
        <v>2085</v>
      </c>
      <c r="B45" s="8"/>
      <c r="C45" s="8"/>
      <c r="D45" s="8"/>
      <c r="E45" s="8"/>
      <c r="F45" s="8"/>
      <c r="G45" s="8"/>
      <c r="H45" s="8"/>
      <c r="I45" s="8"/>
      <c r="J45" s="8"/>
      <c r="K45" s="8"/>
      <c r="L45" s="8"/>
      <c r="M45" s="8"/>
      <c r="N45" s="8"/>
      <c r="O45" s="8"/>
      <c r="P45" s="8"/>
      <c r="Q45" s="8"/>
      <c r="R45" s="8"/>
      <c r="S45" s="8"/>
      <c r="T45" s="8"/>
      <c r="U45" s="8"/>
    </row>
    <row r="46" spans="1:55">
      <c r="A46" s="8" t="s">
        <v>1979</v>
      </c>
      <c r="B46" s="8" t="s">
        <v>16</v>
      </c>
      <c r="C46" s="8" t="s">
        <v>2086</v>
      </c>
      <c r="D46" s="8" t="s">
        <v>2087</v>
      </c>
      <c r="E46" s="8"/>
      <c r="F46" s="8"/>
      <c r="G46" s="8"/>
      <c r="H46" s="8"/>
      <c r="I46" s="8"/>
      <c r="J46" s="8"/>
      <c r="K46" s="8"/>
      <c r="L46" s="8"/>
      <c r="M46" s="8"/>
      <c r="N46" s="8"/>
      <c r="O46" s="8"/>
      <c r="P46" s="8"/>
      <c r="Q46" s="8"/>
      <c r="R46" s="8"/>
      <c r="S46" s="8"/>
      <c r="T46" s="8"/>
      <c r="U46" s="8"/>
    </row>
    <row r="47" spans="1:55">
      <c r="A47" s="96" t="s">
        <v>2088</v>
      </c>
      <c r="B47" s="96" t="s">
        <v>2089</v>
      </c>
      <c r="C47" s="96"/>
      <c r="D47" s="96" t="s">
        <v>1284</v>
      </c>
      <c r="E47" s="96" t="s">
        <v>1562</v>
      </c>
      <c r="F47" s="96" t="s">
        <v>1562</v>
      </c>
      <c r="G47" s="96" t="s">
        <v>1562</v>
      </c>
      <c r="H47" s="96" t="s">
        <v>1562</v>
      </c>
      <c r="I47" s="96" t="s">
        <v>1562</v>
      </c>
      <c r="J47" s="96" t="s">
        <v>1562</v>
      </c>
      <c r="K47" s="96" t="s">
        <v>1562</v>
      </c>
      <c r="L47" s="96" t="s">
        <v>1562</v>
      </c>
      <c r="M47" s="96" t="s">
        <v>1562</v>
      </c>
      <c r="N47" s="96" t="s">
        <v>1562</v>
      </c>
      <c r="O47" s="96" t="s">
        <v>1562</v>
      </c>
      <c r="P47" s="96" t="s">
        <v>1562</v>
      </c>
      <c r="Q47" s="96" t="s">
        <v>1562</v>
      </c>
      <c r="R47" s="96" t="s">
        <v>1562</v>
      </c>
      <c r="S47" s="96" t="s">
        <v>1562</v>
      </c>
      <c r="T47" s="96" t="s">
        <v>1562</v>
      </c>
      <c r="U47" s="96" t="s">
        <v>1562</v>
      </c>
    </row>
    <row r="48" spans="1:55">
      <c r="A48" s="96" t="s">
        <v>2088</v>
      </c>
      <c r="B48" s="96" t="s">
        <v>2090</v>
      </c>
      <c r="C48" s="96"/>
      <c r="D48" s="96" t="s">
        <v>1284</v>
      </c>
      <c r="E48" s="96" t="s">
        <v>1562</v>
      </c>
      <c r="F48" s="96" t="s">
        <v>1562</v>
      </c>
      <c r="G48" s="96" t="s">
        <v>1562</v>
      </c>
      <c r="H48" s="96" t="s">
        <v>1562</v>
      </c>
      <c r="I48" s="96" t="s">
        <v>1562</v>
      </c>
      <c r="J48" s="96" t="s">
        <v>1562</v>
      </c>
      <c r="K48" s="96" t="s">
        <v>1562</v>
      </c>
      <c r="L48" s="96" t="s">
        <v>1562</v>
      </c>
      <c r="M48" s="96" t="s">
        <v>1562</v>
      </c>
      <c r="N48" s="96" t="s">
        <v>1562</v>
      </c>
      <c r="O48" s="96" t="s">
        <v>1562</v>
      </c>
      <c r="P48" s="96" t="s">
        <v>1562</v>
      </c>
      <c r="Q48" s="96" t="s">
        <v>1562</v>
      </c>
      <c r="R48" s="96" t="s">
        <v>1562</v>
      </c>
      <c r="S48" s="96" t="s">
        <v>1562</v>
      </c>
      <c r="T48" s="96" t="s">
        <v>1562</v>
      </c>
      <c r="U48" s="96" t="s">
        <v>1562</v>
      </c>
    </row>
    <row r="49" spans="1:21">
      <c r="A49" s="54" t="s">
        <v>2091</v>
      </c>
      <c r="B49" s="54" t="s">
        <v>2092</v>
      </c>
      <c r="C49" s="95" t="s">
        <v>294</v>
      </c>
      <c r="D49" s="54" t="s">
        <v>1562</v>
      </c>
      <c r="E49" s="54" t="s">
        <v>1562</v>
      </c>
      <c r="F49" s="54" t="s">
        <v>1562</v>
      </c>
      <c r="G49" s="54" t="s">
        <v>1562</v>
      </c>
      <c r="H49" s="54" t="s">
        <v>1562</v>
      </c>
      <c r="I49" s="54" t="s">
        <v>1562</v>
      </c>
      <c r="J49" s="54" t="s">
        <v>1562</v>
      </c>
      <c r="K49" s="54" t="s">
        <v>1562</v>
      </c>
      <c r="L49" s="54" t="s">
        <v>1562</v>
      </c>
      <c r="M49" s="54" t="s">
        <v>1562</v>
      </c>
      <c r="N49" s="54" t="s">
        <v>1562</v>
      </c>
      <c r="O49" s="54" t="s">
        <v>1562</v>
      </c>
      <c r="P49" s="54" t="s">
        <v>1562</v>
      </c>
      <c r="Q49" s="54" t="s">
        <v>1562</v>
      </c>
      <c r="R49" s="54" t="s">
        <v>1562</v>
      </c>
      <c r="S49" s="54" t="s">
        <v>1562</v>
      </c>
      <c r="T49" s="54" t="s">
        <v>1562</v>
      </c>
      <c r="U49" s="54" t="s">
        <v>1562</v>
      </c>
    </row>
    <row r="50" spans="1:21">
      <c r="A50" s="97" t="s">
        <v>2091</v>
      </c>
      <c r="B50" s="56" t="s">
        <v>2093</v>
      </c>
      <c r="C50" s="97"/>
      <c r="D50" s="97" t="s">
        <v>2094</v>
      </c>
      <c r="E50" s="97"/>
      <c r="F50" s="97" t="s">
        <v>1562</v>
      </c>
      <c r="G50" s="97" t="s">
        <v>1562</v>
      </c>
      <c r="H50" s="97" t="s">
        <v>1562</v>
      </c>
      <c r="I50" s="97" t="s">
        <v>1562</v>
      </c>
      <c r="J50" s="97" t="s">
        <v>1562</v>
      </c>
      <c r="K50" s="97" t="s">
        <v>1562</v>
      </c>
      <c r="L50" s="97" t="s">
        <v>1562</v>
      </c>
      <c r="M50" s="97" t="s">
        <v>1562</v>
      </c>
      <c r="N50" s="97" t="s">
        <v>1562</v>
      </c>
      <c r="O50" s="97" t="s">
        <v>1562</v>
      </c>
      <c r="P50" s="97" t="s">
        <v>1562</v>
      </c>
      <c r="Q50" s="97" t="s">
        <v>1562</v>
      </c>
      <c r="R50" s="97" t="s">
        <v>1562</v>
      </c>
      <c r="S50" s="97" t="s">
        <v>1562</v>
      </c>
      <c r="T50" s="97" t="s">
        <v>1562</v>
      </c>
      <c r="U50" s="97" t="s">
        <v>1562</v>
      </c>
    </row>
    <row r="51" spans="1:21">
      <c r="A51" s="97" t="s">
        <v>2091</v>
      </c>
      <c r="B51" s="56" t="s">
        <v>2095</v>
      </c>
      <c r="C51" s="97"/>
      <c r="D51" s="97" t="s">
        <v>1284</v>
      </c>
      <c r="E51" s="97" t="s">
        <v>1562</v>
      </c>
      <c r="F51" s="97" t="s">
        <v>1562</v>
      </c>
      <c r="G51" s="97" t="s">
        <v>1562</v>
      </c>
      <c r="H51" s="97" t="s">
        <v>1562</v>
      </c>
      <c r="I51" s="97" t="s">
        <v>1562</v>
      </c>
      <c r="J51" s="97" t="s">
        <v>1562</v>
      </c>
      <c r="K51" s="97" t="s">
        <v>1562</v>
      </c>
      <c r="L51" s="97" t="s">
        <v>1562</v>
      </c>
      <c r="M51" s="97" t="s">
        <v>1562</v>
      </c>
      <c r="N51" s="97" t="s">
        <v>1562</v>
      </c>
      <c r="O51" s="97" t="s">
        <v>1562</v>
      </c>
      <c r="P51" s="97" t="s">
        <v>1562</v>
      </c>
      <c r="Q51" s="97" t="s">
        <v>1562</v>
      </c>
      <c r="R51" s="97" t="s">
        <v>1562</v>
      </c>
      <c r="S51" s="97" t="s">
        <v>1562</v>
      </c>
      <c r="T51" s="97" t="s">
        <v>1562</v>
      </c>
      <c r="U51" s="97" t="s">
        <v>1562</v>
      </c>
    </row>
    <row r="52" spans="1:21">
      <c r="A52" s="97" t="s">
        <v>2091</v>
      </c>
      <c r="B52" s="56" t="s">
        <v>1869</v>
      </c>
      <c r="C52" s="97"/>
      <c r="D52" s="97" t="s">
        <v>1284</v>
      </c>
      <c r="E52" s="97" t="s">
        <v>1562</v>
      </c>
      <c r="F52" s="97" t="s">
        <v>1562</v>
      </c>
      <c r="G52" s="97" t="s">
        <v>1562</v>
      </c>
      <c r="H52" s="97" t="s">
        <v>1562</v>
      </c>
      <c r="I52" s="97" t="s">
        <v>1562</v>
      </c>
      <c r="J52" s="97" t="s">
        <v>1562</v>
      </c>
      <c r="K52" s="97" t="s">
        <v>1562</v>
      </c>
      <c r="L52" s="97" t="s">
        <v>1562</v>
      </c>
      <c r="M52" s="97" t="s">
        <v>1562</v>
      </c>
      <c r="N52" s="97" t="s">
        <v>1562</v>
      </c>
      <c r="O52" s="97" t="s">
        <v>1562</v>
      </c>
      <c r="P52" s="97" t="s">
        <v>1562</v>
      </c>
      <c r="Q52" s="97" t="s">
        <v>1562</v>
      </c>
      <c r="R52" s="97" t="s">
        <v>1562</v>
      </c>
      <c r="S52" s="97" t="s">
        <v>1562</v>
      </c>
      <c r="T52" s="97" t="s">
        <v>1562</v>
      </c>
      <c r="U52" s="97" t="s">
        <v>1562</v>
      </c>
    </row>
    <row r="53" spans="1:21">
      <c r="A53" s="97" t="s">
        <v>2091</v>
      </c>
      <c r="B53" s="56" t="s">
        <v>2096</v>
      </c>
      <c r="C53" s="97"/>
      <c r="D53" s="97" t="s">
        <v>2097</v>
      </c>
      <c r="E53" s="97"/>
      <c r="F53" s="97"/>
      <c r="G53" s="97" t="s">
        <v>1562</v>
      </c>
      <c r="H53" s="97" t="s">
        <v>1562</v>
      </c>
      <c r="I53" s="97" t="s">
        <v>1562</v>
      </c>
      <c r="J53" s="97" t="s">
        <v>1562</v>
      </c>
      <c r="K53" s="97" t="s">
        <v>1562</v>
      </c>
      <c r="L53" s="97" t="s">
        <v>1562</v>
      </c>
      <c r="M53" s="97" t="s">
        <v>1562</v>
      </c>
      <c r="N53" s="97" t="s">
        <v>1562</v>
      </c>
      <c r="O53" s="97" t="s">
        <v>1562</v>
      </c>
      <c r="P53" s="97" t="s">
        <v>1562</v>
      </c>
      <c r="Q53" s="97" t="s">
        <v>1562</v>
      </c>
      <c r="R53" s="97" t="s">
        <v>1562</v>
      </c>
      <c r="S53" s="97" t="s">
        <v>1562</v>
      </c>
      <c r="T53" s="97" t="s">
        <v>1562</v>
      </c>
      <c r="U53" s="97" t="s">
        <v>1562</v>
      </c>
    </row>
    <row r="54" spans="1:21">
      <c r="A54" s="97" t="s">
        <v>2091</v>
      </c>
      <c r="B54" s="56" t="s">
        <v>2098</v>
      </c>
      <c r="C54" s="97"/>
      <c r="D54" s="97" t="s">
        <v>1284</v>
      </c>
      <c r="E54" s="97" t="s">
        <v>1562</v>
      </c>
      <c r="F54" s="97" t="s">
        <v>1562</v>
      </c>
      <c r="G54" s="97" t="s">
        <v>1562</v>
      </c>
      <c r="H54" s="97" t="s">
        <v>1562</v>
      </c>
      <c r="I54" s="97" t="s">
        <v>1562</v>
      </c>
      <c r="J54" s="97" t="s">
        <v>1562</v>
      </c>
      <c r="K54" s="97" t="s">
        <v>1562</v>
      </c>
      <c r="L54" s="97" t="s">
        <v>1562</v>
      </c>
      <c r="M54" s="97" t="s">
        <v>1562</v>
      </c>
      <c r="N54" s="97" t="s">
        <v>1562</v>
      </c>
      <c r="O54" s="97" t="s">
        <v>1562</v>
      </c>
      <c r="P54" s="97" t="s">
        <v>1562</v>
      </c>
      <c r="Q54" s="97" t="s">
        <v>1562</v>
      </c>
      <c r="R54" s="97" t="s">
        <v>1562</v>
      </c>
      <c r="S54" s="97" t="s">
        <v>1562</v>
      </c>
      <c r="T54" s="97" t="s">
        <v>1562</v>
      </c>
      <c r="U54" s="97" t="s">
        <v>1562</v>
      </c>
    </row>
    <row r="55" spans="1:21">
      <c r="A55" s="97" t="s">
        <v>2091</v>
      </c>
      <c r="B55" s="56" t="s">
        <v>2099</v>
      </c>
      <c r="C55" s="97"/>
      <c r="D55" s="97" t="s">
        <v>1284</v>
      </c>
      <c r="E55" s="97" t="s">
        <v>1562</v>
      </c>
      <c r="F55" s="97" t="s">
        <v>1562</v>
      </c>
      <c r="G55" s="97" t="s">
        <v>1562</v>
      </c>
      <c r="H55" s="97" t="s">
        <v>1562</v>
      </c>
      <c r="I55" s="97" t="s">
        <v>1562</v>
      </c>
      <c r="J55" s="97" t="s">
        <v>1562</v>
      </c>
      <c r="K55" s="97" t="s">
        <v>1562</v>
      </c>
      <c r="L55" s="97" t="s">
        <v>1562</v>
      </c>
      <c r="M55" s="97" t="s">
        <v>1562</v>
      </c>
      <c r="N55" s="97" t="s">
        <v>1562</v>
      </c>
      <c r="O55" s="97" t="s">
        <v>1562</v>
      </c>
      <c r="P55" s="97" t="s">
        <v>1562</v>
      </c>
      <c r="Q55" s="97" t="s">
        <v>1562</v>
      </c>
      <c r="R55" s="97" t="s">
        <v>1562</v>
      </c>
      <c r="S55" s="97" t="s">
        <v>1562</v>
      </c>
      <c r="T55" s="97" t="s">
        <v>1562</v>
      </c>
      <c r="U55" s="97" t="s">
        <v>1562</v>
      </c>
    </row>
    <row r="56" spans="1:21">
      <c r="A56" s="97" t="s">
        <v>2091</v>
      </c>
      <c r="B56" s="56" t="s">
        <v>2100</v>
      </c>
      <c r="C56" s="97"/>
      <c r="D56" s="97" t="s">
        <v>1284</v>
      </c>
      <c r="E56" s="97" t="s">
        <v>1562</v>
      </c>
      <c r="F56" s="97" t="s">
        <v>1562</v>
      </c>
      <c r="G56" s="97" t="s">
        <v>1562</v>
      </c>
      <c r="H56" s="97" t="s">
        <v>1562</v>
      </c>
      <c r="I56" s="97" t="s">
        <v>1562</v>
      </c>
      <c r="J56" s="97" t="s">
        <v>1562</v>
      </c>
      <c r="K56" s="97" t="s">
        <v>1562</v>
      </c>
      <c r="L56" s="97" t="s">
        <v>1562</v>
      </c>
      <c r="M56" s="97" t="s">
        <v>1562</v>
      </c>
      <c r="N56" s="97" t="s">
        <v>1562</v>
      </c>
      <c r="O56" s="97" t="s">
        <v>1562</v>
      </c>
      <c r="P56" s="97" t="s">
        <v>1562</v>
      </c>
      <c r="Q56" s="97" t="s">
        <v>1562</v>
      </c>
      <c r="R56" s="97" t="s">
        <v>1562</v>
      </c>
      <c r="S56" s="97" t="s">
        <v>1562</v>
      </c>
      <c r="T56" s="97" t="s">
        <v>1562</v>
      </c>
      <c r="U56" s="97" t="s">
        <v>1562</v>
      </c>
    </row>
    <row r="57" spans="1:21">
      <c r="A57" s="97" t="s">
        <v>2091</v>
      </c>
      <c r="B57" s="56" t="s">
        <v>2101</v>
      </c>
      <c r="C57" s="97"/>
      <c r="D57" s="97" t="s">
        <v>1284</v>
      </c>
      <c r="E57" s="97" t="s">
        <v>1562</v>
      </c>
      <c r="F57" s="97" t="s">
        <v>1562</v>
      </c>
      <c r="G57" s="97" t="s">
        <v>1562</v>
      </c>
      <c r="H57" s="97" t="s">
        <v>1562</v>
      </c>
      <c r="I57" s="97" t="s">
        <v>1562</v>
      </c>
      <c r="J57" s="97" t="s">
        <v>1562</v>
      </c>
      <c r="K57" s="97" t="s">
        <v>1562</v>
      </c>
      <c r="L57" s="97" t="s">
        <v>1562</v>
      </c>
      <c r="M57" s="97" t="s">
        <v>1562</v>
      </c>
      <c r="N57" s="97" t="s">
        <v>1562</v>
      </c>
      <c r="O57" s="97" t="s">
        <v>1562</v>
      </c>
      <c r="P57" s="97" t="s">
        <v>1562</v>
      </c>
      <c r="Q57" s="97" t="s">
        <v>1562</v>
      </c>
      <c r="R57" s="97" t="s">
        <v>1562</v>
      </c>
      <c r="S57" s="97" t="s">
        <v>1562</v>
      </c>
      <c r="T57" s="97" t="s">
        <v>1562</v>
      </c>
      <c r="U57" s="97" t="s">
        <v>1562</v>
      </c>
    </row>
    <row r="58" spans="1:21">
      <c r="A58" s="97" t="s">
        <v>2091</v>
      </c>
      <c r="B58" s="56" t="s">
        <v>2102</v>
      </c>
      <c r="C58" s="97"/>
      <c r="D58" s="97" t="s">
        <v>1284</v>
      </c>
      <c r="E58" s="97" t="s">
        <v>1562</v>
      </c>
      <c r="F58" s="97" t="s">
        <v>1562</v>
      </c>
      <c r="G58" s="97" t="s">
        <v>1562</v>
      </c>
      <c r="H58" s="97" t="s">
        <v>1562</v>
      </c>
      <c r="I58" s="97" t="s">
        <v>1562</v>
      </c>
      <c r="J58" s="97" t="s">
        <v>1562</v>
      </c>
      <c r="K58" s="97" t="s">
        <v>1562</v>
      </c>
      <c r="L58" s="97" t="s">
        <v>1562</v>
      </c>
      <c r="M58" s="97" t="s">
        <v>1562</v>
      </c>
      <c r="N58" s="97" t="s">
        <v>1562</v>
      </c>
      <c r="O58" s="97" t="s">
        <v>1562</v>
      </c>
      <c r="P58" s="97" t="s">
        <v>1562</v>
      </c>
      <c r="Q58" s="97" t="s">
        <v>1562</v>
      </c>
      <c r="R58" s="97" t="s">
        <v>1562</v>
      </c>
      <c r="S58" s="97" t="s">
        <v>1562</v>
      </c>
      <c r="T58" s="97" t="s">
        <v>1562</v>
      </c>
      <c r="U58" s="97" t="s">
        <v>1562</v>
      </c>
    </row>
    <row r="59" spans="1:21">
      <c r="A59" s="97" t="s">
        <v>2091</v>
      </c>
      <c r="B59" s="56" t="s">
        <v>2103</v>
      </c>
      <c r="C59" s="97"/>
      <c r="D59" s="97" t="s">
        <v>1284</v>
      </c>
      <c r="E59" s="97" t="s">
        <v>1562</v>
      </c>
      <c r="F59" s="97" t="s">
        <v>1562</v>
      </c>
      <c r="G59" s="97" t="s">
        <v>1562</v>
      </c>
      <c r="H59" s="97" t="s">
        <v>1562</v>
      </c>
      <c r="I59" s="97" t="s">
        <v>1562</v>
      </c>
      <c r="J59" s="97" t="s">
        <v>1562</v>
      </c>
      <c r="K59" s="97" t="s">
        <v>1562</v>
      </c>
      <c r="L59" s="97" t="s">
        <v>1562</v>
      </c>
      <c r="M59" s="97" t="s">
        <v>1562</v>
      </c>
      <c r="N59" s="97" t="s">
        <v>1562</v>
      </c>
      <c r="O59" s="97" t="s">
        <v>1562</v>
      </c>
      <c r="P59" s="97" t="s">
        <v>1562</v>
      </c>
      <c r="Q59" s="97" t="s">
        <v>1562</v>
      </c>
      <c r="R59" s="97" t="s">
        <v>1562</v>
      </c>
      <c r="S59" s="97" t="s">
        <v>1562</v>
      </c>
      <c r="T59" s="97" t="s">
        <v>1562</v>
      </c>
      <c r="U59" s="97" t="s">
        <v>1562</v>
      </c>
    </row>
    <row r="60" spans="1:21">
      <c r="A60" s="97" t="s">
        <v>2091</v>
      </c>
      <c r="B60" s="56" t="s">
        <v>2104</v>
      </c>
      <c r="C60" s="97"/>
      <c r="D60" s="97" t="s">
        <v>1284</v>
      </c>
      <c r="E60" s="97" t="s">
        <v>1562</v>
      </c>
      <c r="F60" s="97" t="s">
        <v>1562</v>
      </c>
      <c r="G60" s="97" t="s">
        <v>1562</v>
      </c>
      <c r="H60" s="97" t="s">
        <v>1562</v>
      </c>
      <c r="I60" s="97" t="s">
        <v>1562</v>
      </c>
      <c r="J60" s="97" t="s">
        <v>1562</v>
      </c>
      <c r="K60" s="97" t="s">
        <v>1562</v>
      </c>
      <c r="L60" s="97" t="s">
        <v>1562</v>
      </c>
      <c r="M60" s="97" t="s">
        <v>1562</v>
      </c>
      <c r="N60" s="97" t="s">
        <v>1562</v>
      </c>
      <c r="O60" s="97" t="s">
        <v>1562</v>
      </c>
      <c r="P60" s="97" t="s">
        <v>1562</v>
      </c>
      <c r="Q60" s="97" t="s">
        <v>1562</v>
      </c>
      <c r="R60" s="97" t="s">
        <v>1562</v>
      </c>
      <c r="S60" s="97" t="s">
        <v>1562</v>
      </c>
      <c r="T60" s="97" t="s">
        <v>1562</v>
      </c>
      <c r="U60" s="97" t="s">
        <v>1562</v>
      </c>
    </row>
    <row r="61" spans="1:21">
      <c r="A61" s="97" t="s">
        <v>2091</v>
      </c>
      <c r="B61" s="56" t="s">
        <v>2105</v>
      </c>
      <c r="C61" s="97"/>
      <c r="D61" s="97" t="s">
        <v>1284</v>
      </c>
      <c r="E61" s="97" t="s">
        <v>1562</v>
      </c>
      <c r="F61" s="97" t="s">
        <v>1562</v>
      </c>
      <c r="G61" s="97" t="s">
        <v>1562</v>
      </c>
      <c r="H61" s="97" t="s">
        <v>1562</v>
      </c>
      <c r="I61" s="97" t="s">
        <v>1562</v>
      </c>
      <c r="J61" s="97" t="s">
        <v>1562</v>
      </c>
      <c r="K61" s="97" t="s">
        <v>1562</v>
      </c>
      <c r="L61" s="97" t="s">
        <v>1562</v>
      </c>
      <c r="M61" s="97" t="s">
        <v>1562</v>
      </c>
      <c r="N61" s="97" t="s">
        <v>1562</v>
      </c>
      <c r="O61" s="97" t="s">
        <v>1562</v>
      </c>
      <c r="P61" s="97" t="s">
        <v>1562</v>
      </c>
      <c r="Q61" s="97" t="s">
        <v>1562</v>
      </c>
      <c r="R61" s="97" t="s">
        <v>1562</v>
      </c>
      <c r="S61" s="97" t="s">
        <v>1562</v>
      </c>
      <c r="T61" s="97" t="s">
        <v>1562</v>
      </c>
      <c r="U61" s="97" t="s">
        <v>1562</v>
      </c>
    </row>
    <row r="62" spans="1:21">
      <c r="A62" s="97" t="s">
        <v>2091</v>
      </c>
      <c r="B62" s="56" t="s">
        <v>2106</v>
      </c>
      <c r="C62" s="97"/>
      <c r="D62" s="97" t="s">
        <v>1284</v>
      </c>
      <c r="E62" s="97" t="s">
        <v>1562</v>
      </c>
      <c r="F62" s="97" t="s">
        <v>1562</v>
      </c>
      <c r="G62" s="97" t="s">
        <v>1562</v>
      </c>
      <c r="H62" s="97" t="s">
        <v>1562</v>
      </c>
      <c r="I62" s="97" t="s">
        <v>1562</v>
      </c>
      <c r="J62" s="97" t="s">
        <v>1562</v>
      </c>
      <c r="K62" s="97" t="s">
        <v>1562</v>
      </c>
      <c r="L62" s="97" t="s">
        <v>1562</v>
      </c>
      <c r="M62" s="97" t="s">
        <v>1562</v>
      </c>
      <c r="N62" s="97" t="s">
        <v>1562</v>
      </c>
      <c r="O62" s="97" t="s">
        <v>1562</v>
      </c>
      <c r="P62" s="97" t="s">
        <v>1562</v>
      </c>
      <c r="Q62" s="97" t="s">
        <v>1562</v>
      </c>
      <c r="R62" s="97" t="s">
        <v>1562</v>
      </c>
      <c r="S62" s="97" t="s">
        <v>1562</v>
      </c>
      <c r="T62" s="97" t="s">
        <v>1562</v>
      </c>
      <c r="U62" s="97" t="s">
        <v>1562</v>
      </c>
    </row>
    <row r="63" spans="1:21">
      <c r="A63" s="97" t="s">
        <v>2091</v>
      </c>
      <c r="B63" s="56" t="s">
        <v>2107</v>
      </c>
      <c r="C63" s="97"/>
      <c r="D63" s="97" t="s">
        <v>2108</v>
      </c>
      <c r="E63" s="97"/>
      <c r="F63" s="97"/>
      <c r="G63" s="97"/>
      <c r="H63" s="97"/>
      <c r="I63" s="97" t="s">
        <v>1562</v>
      </c>
      <c r="J63" s="97" t="s">
        <v>1562</v>
      </c>
      <c r="K63" s="97" t="s">
        <v>1562</v>
      </c>
      <c r="L63" s="97" t="s">
        <v>1562</v>
      </c>
      <c r="M63" s="97" t="s">
        <v>1562</v>
      </c>
      <c r="N63" s="97" t="s">
        <v>1562</v>
      </c>
      <c r="O63" s="97" t="s">
        <v>1562</v>
      </c>
      <c r="P63" s="97" t="s">
        <v>1562</v>
      </c>
      <c r="Q63" s="97" t="s">
        <v>1562</v>
      </c>
      <c r="R63" s="97" t="s">
        <v>1562</v>
      </c>
      <c r="S63" s="97" t="s">
        <v>1562</v>
      </c>
      <c r="T63" s="97" t="s">
        <v>1562</v>
      </c>
      <c r="U63" s="97" t="s">
        <v>1562</v>
      </c>
    </row>
    <row r="64" spans="1:21">
      <c r="A64" s="97" t="s">
        <v>2091</v>
      </c>
      <c r="B64" s="56" t="s">
        <v>2109</v>
      </c>
      <c r="C64" s="97"/>
      <c r="D64" s="97" t="s">
        <v>1284</v>
      </c>
      <c r="E64" s="97" t="s">
        <v>1562</v>
      </c>
      <c r="F64" s="97" t="s">
        <v>1562</v>
      </c>
      <c r="G64" s="97" t="s">
        <v>1562</v>
      </c>
      <c r="H64" s="97" t="s">
        <v>1562</v>
      </c>
      <c r="I64" s="97" t="s">
        <v>1562</v>
      </c>
      <c r="J64" s="97" t="s">
        <v>1562</v>
      </c>
      <c r="K64" s="97" t="s">
        <v>1562</v>
      </c>
      <c r="L64" s="97" t="s">
        <v>1562</v>
      </c>
      <c r="M64" s="97" t="s">
        <v>1562</v>
      </c>
      <c r="N64" s="97" t="s">
        <v>1562</v>
      </c>
      <c r="O64" s="97" t="s">
        <v>1562</v>
      </c>
      <c r="P64" s="97" t="s">
        <v>1562</v>
      </c>
      <c r="Q64" s="97" t="s">
        <v>1562</v>
      </c>
      <c r="R64" s="97" t="s">
        <v>1562</v>
      </c>
      <c r="S64" s="97" t="s">
        <v>1562</v>
      </c>
      <c r="T64" s="97" t="s">
        <v>1562</v>
      </c>
      <c r="U64" s="97" t="s">
        <v>1562</v>
      </c>
    </row>
    <row r="65" spans="1:22">
      <c r="A65" s="97" t="s">
        <v>2091</v>
      </c>
      <c r="B65" s="56" t="s">
        <v>2110</v>
      </c>
      <c r="C65" s="97"/>
      <c r="D65" s="97" t="s">
        <v>1284</v>
      </c>
      <c r="E65" s="97" t="s">
        <v>1562</v>
      </c>
      <c r="F65" s="97" t="s">
        <v>1562</v>
      </c>
      <c r="G65" s="97" t="s">
        <v>1562</v>
      </c>
      <c r="H65" s="97" t="s">
        <v>1562</v>
      </c>
      <c r="I65" s="97" t="s">
        <v>1562</v>
      </c>
      <c r="J65" s="97" t="s">
        <v>1562</v>
      </c>
      <c r="K65" s="97" t="s">
        <v>1562</v>
      </c>
      <c r="L65" s="97" t="s">
        <v>1562</v>
      </c>
      <c r="M65" s="97" t="s">
        <v>1562</v>
      </c>
      <c r="N65" s="97" t="s">
        <v>1562</v>
      </c>
      <c r="O65" s="97" t="s">
        <v>1562</v>
      </c>
      <c r="P65" s="97" t="s">
        <v>1562</v>
      </c>
      <c r="Q65" s="97" t="s">
        <v>1562</v>
      </c>
      <c r="R65" s="97" t="s">
        <v>1562</v>
      </c>
      <c r="S65" s="97" t="s">
        <v>1562</v>
      </c>
      <c r="T65" s="97" t="s">
        <v>1562</v>
      </c>
      <c r="U65" s="97" t="s">
        <v>1562</v>
      </c>
    </row>
    <row r="66" spans="1:22">
      <c r="A66" s="96" t="s">
        <v>2088</v>
      </c>
      <c r="B66" s="57" t="s">
        <v>2111</v>
      </c>
      <c r="C66" s="96"/>
      <c r="D66" s="96" t="s">
        <v>1284</v>
      </c>
      <c r="E66" s="96" t="s">
        <v>1562</v>
      </c>
      <c r="F66" s="96" t="s">
        <v>1562</v>
      </c>
      <c r="G66" s="96" t="s">
        <v>1562</v>
      </c>
      <c r="H66" s="96" t="s">
        <v>1562</v>
      </c>
      <c r="I66" s="96" t="s">
        <v>1562</v>
      </c>
      <c r="J66" s="96" t="s">
        <v>1562</v>
      </c>
      <c r="K66" s="96" t="s">
        <v>1562</v>
      </c>
      <c r="L66" s="96" t="s">
        <v>1562</v>
      </c>
      <c r="M66" s="96" t="s">
        <v>1562</v>
      </c>
      <c r="N66" s="96" t="s">
        <v>1562</v>
      </c>
      <c r="O66" s="96" t="s">
        <v>1562</v>
      </c>
      <c r="P66" s="96" t="s">
        <v>1562</v>
      </c>
      <c r="Q66" s="96" t="s">
        <v>1562</v>
      </c>
      <c r="R66" s="96" t="s">
        <v>1562</v>
      </c>
      <c r="S66" s="96" t="s">
        <v>1562</v>
      </c>
      <c r="T66" s="96" t="s">
        <v>1562</v>
      </c>
      <c r="U66" s="96" t="s">
        <v>1562</v>
      </c>
    </row>
    <row r="67" spans="1:22">
      <c r="A67" s="97" t="s">
        <v>2091</v>
      </c>
      <c r="B67" s="56" t="s">
        <v>2112</v>
      </c>
      <c r="C67" s="97"/>
      <c r="D67" s="97" t="s">
        <v>1284</v>
      </c>
      <c r="E67" s="97" t="s">
        <v>1562</v>
      </c>
      <c r="F67" s="97" t="s">
        <v>1562</v>
      </c>
      <c r="G67" s="97" t="s">
        <v>1562</v>
      </c>
      <c r="H67" s="97" t="s">
        <v>1562</v>
      </c>
      <c r="I67" s="97" t="s">
        <v>1562</v>
      </c>
      <c r="J67" s="97" t="s">
        <v>1562</v>
      </c>
      <c r="K67" s="97" t="s">
        <v>1562</v>
      </c>
      <c r="L67" s="97" t="s">
        <v>1562</v>
      </c>
      <c r="M67" s="97" t="s">
        <v>1562</v>
      </c>
      <c r="N67" s="97" t="s">
        <v>1562</v>
      </c>
      <c r="O67" s="97" t="s">
        <v>1562</v>
      </c>
      <c r="P67" s="97" t="s">
        <v>1562</v>
      </c>
      <c r="Q67" s="97" t="s">
        <v>1562</v>
      </c>
      <c r="R67" s="97" t="s">
        <v>1562</v>
      </c>
      <c r="S67" s="97" t="s">
        <v>1562</v>
      </c>
      <c r="T67" s="97" t="s">
        <v>1562</v>
      </c>
      <c r="U67" s="97" t="s">
        <v>1562</v>
      </c>
    </row>
    <row r="68" spans="1:22">
      <c r="A68" s="96" t="s">
        <v>2088</v>
      </c>
      <c r="B68" s="57" t="s">
        <v>2113</v>
      </c>
      <c r="C68" s="96"/>
      <c r="D68" s="96" t="s">
        <v>1284</v>
      </c>
      <c r="E68" s="96" t="s">
        <v>1562</v>
      </c>
      <c r="F68" s="96" t="s">
        <v>1562</v>
      </c>
      <c r="G68" s="96" t="s">
        <v>1562</v>
      </c>
      <c r="H68" s="96" t="s">
        <v>1562</v>
      </c>
      <c r="I68" s="96" t="s">
        <v>1562</v>
      </c>
      <c r="J68" s="96" t="s">
        <v>1562</v>
      </c>
      <c r="K68" s="96" t="s">
        <v>1562</v>
      </c>
      <c r="L68" s="96" t="s">
        <v>1562</v>
      </c>
      <c r="M68" s="96" t="s">
        <v>1562</v>
      </c>
      <c r="N68" s="96" t="s">
        <v>1562</v>
      </c>
      <c r="O68" s="96" t="s">
        <v>1562</v>
      </c>
      <c r="P68" s="96" t="s">
        <v>1562</v>
      </c>
      <c r="Q68" s="96" t="s">
        <v>1562</v>
      </c>
      <c r="R68" s="96" t="s">
        <v>1562</v>
      </c>
      <c r="S68" s="96" t="s">
        <v>1562</v>
      </c>
      <c r="T68" s="96" t="s">
        <v>1562</v>
      </c>
      <c r="U68" s="96" t="s">
        <v>1562</v>
      </c>
    </row>
    <row r="69" spans="1:22">
      <c r="A69" s="97" t="s">
        <v>2091</v>
      </c>
      <c r="B69" s="56" t="s">
        <v>2114</v>
      </c>
      <c r="C69" s="97"/>
      <c r="D69" s="97" t="s">
        <v>1284</v>
      </c>
      <c r="E69" s="97" t="s">
        <v>1562</v>
      </c>
      <c r="F69" s="97" t="s">
        <v>1562</v>
      </c>
      <c r="G69" s="97" t="s">
        <v>1562</v>
      </c>
      <c r="H69" s="97" t="s">
        <v>1562</v>
      </c>
      <c r="I69" s="97" t="s">
        <v>1562</v>
      </c>
      <c r="J69" s="97" t="s">
        <v>1562</v>
      </c>
      <c r="K69" s="97" t="s">
        <v>1562</v>
      </c>
      <c r="L69" s="97" t="s">
        <v>1562</v>
      </c>
      <c r="M69" s="97" t="s">
        <v>1562</v>
      </c>
      <c r="N69" s="97" t="s">
        <v>1562</v>
      </c>
      <c r="O69" s="97" t="s">
        <v>1562</v>
      </c>
      <c r="P69" s="97" t="s">
        <v>1562</v>
      </c>
      <c r="Q69" s="97" t="s">
        <v>1562</v>
      </c>
      <c r="R69" s="97" t="s">
        <v>1562</v>
      </c>
      <c r="S69" s="97" t="s">
        <v>1562</v>
      </c>
      <c r="T69" s="97" t="s">
        <v>1562</v>
      </c>
      <c r="U69" s="97" t="s">
        <v>1562</v>
      </c>
    </row>
    <row r="70" spans="1:22">
      <c r="A70" s="97" t="s">
        <v>2091</v>
      </c>
      <c r="B70" s="56" t="s">
        <v>2115</v>
      </c>
      <c r="C70" s="97"/>
      <c r="D70" s="97" t="s">
        <v>1284</v>
      </c>
      <c r="E70" s="97" t="s">
        <v>1562</v>
      </c>
      <c r="F70" s="97" t="s">
        <v>1562</v>
      </c>
      <c r="G70" s="97" t="s">
        <v>1562</v>
      </c>
      <c r="H70" s="97" t="s">
        <v>1562</v>
      </c>
      <c r="I70" s="97" t="s">
        <v>1562</v>
      </c>
      <c r="J70" s="97" t="s">
        <v>1562</v>
      </c>
      <c r="K70" s="97" t="s">
        <v>1562</v>
      </c>
      <c r="L70" s="97" t="s">
        <v>1562</v>
      </c>
      <c r="M70" s="97" t="s">
        <v>1562</v>
      </c>
      <c r="N70" s="97" t="s">
        <v>1562</v>
      </c>
      <c r="O70" s="97" t="s">
        <v>1562</v>
      </c>
      <c r="P70" s="97" t="s">
        <v>1562</v>
      </c>
      <c r="Q70" s="97" t="s">
        <v>1562</v>
      </c>
      <c r="R70" s="97" t="s">
        <v>1562</v>
      </c>
      <c r="S70" s="97" t="s">
        <v>1562</v>
      </c>
      <c r="T70" s="97" t="s">
        <v>1562</v>
      </c>
      <c r="U70" s="97" t="s">
        <v>1562</v>
      </c>
    </row>
    <row r="71" spans="1:22">
      <c r="A71" s="97" t="s">
        <v>2091</v>
      </c>
      <c r="B71" s="56" t="s">
        <v>2116</v>
      </c>
      <c r="C71" s="97"/>
      <c r="D71" s="97" t="s">
        <v>1284</v>
      </c>
      <c r="E71" s="97" t="s">
        <v>1562</v>
      </c>
      <c r="F71" s="97" t="s">
        <v>1562</v>
      </c>
      <c r="G71" s="97" t="s">
        <v>1562</v>
      </c>
      <c r="H71" s="97" t="s">
        <v>1562</v>
      </c>
      <c r="I71" s="97" t="s">
        <v>1562</v>
      </c>
      <c r="J71" s="97" t="s">
        <v>1562</v>
      </c>
      <c r="K71" s="97" t="s">
        <v>1562</v>
      </c>
      <c r="L71" s="97" t="s">
        <v>1562</v>
      </c>
      <c r="M71" s="97" t="s">
        <v>1562</v>
      </c>
      <c r="N71" s="97" t="s">
        <v>1562</v>
      </c>
      <c r="O71" s="97" t="s">
        <v>1562</v>
      </c>
      <c r="P71" s="97" t="s">
        <v>1562</v>
      </c>
      <c r="Q71" s="97" t="s">
        <v>1562</v>
      </c>
      <c r="R71" s="97" t="s">
        <v>1562</v>
      </c>
      <c r="S71" s="97" t="s">
        <v>1562</v>
      </c>
      <c r="T71" s="97" t="s">
        <v>1562</v>
      </c>
      <c r="U71" s="97" t="s">
        <v>1562</v>
      </c>
    </row>
    <row r="72" spans="1:22">
      <c r="A72" s="98" t="s">
        <v>2117</v>
      </c>
      <c r="B72" s="98" t="s">
        <v>975</v>
      </c>
      <c r="C72" s="98" t="s">
        <v>976</v>
      </c>
      <c r="D72" s="98" t="s">
        <v>977</v>
      </c>
      <c r="E72" s="98" t="s">
        <v>978</v>
      </c>
      <c r="F72" s="98" t="s">
        <v>979</v>
      </c>
      <c r="G72" s="98" t="s">
        <v>981</v>
      </c>
      <c r="H72" s="98" t="s">
        <v>2118</v>
      </c>
      <c r="I72" s="98" t="s">
        <v>2119</v>
      </c>
      <c r="J72" s="98" t="s">
        <v>2120</v>
      </c>
      <c r="K72" s="98" t="s">
        <v>2121</v>
      </c>
      <c r="L72" s="98" t="s">
        <v>2122</v>
      </c>
      <c r="M72" s="98" t="s">
        <v>2123</v>
      </c>
      <c r="N72" s="98" t="s">
        <v>2124</v>
      </c>
      <c r="O72" s="98" t="s">
        <v>2125</v>
      </c>
      <c r="P72" s="98" t="s">
        <v>982</v>
      </c>
      <c r="Q72" s="98" t="s">
        <v>2126</v>
      </c>
      <c r="R72" s="98" t="s">
        <v>2127</v>
      </c>
      <c r="S72" s="98" t="s">
        <v>2128</v>
      </c>
      <c r="T72" s="98" t="s">
        <v>980</v>
      </c>
      <c r="U72" s="98" t="s">
        <v>2129</v>
      </c>
    </row>
    <row r="73" spans="1:22">
      <c r="A73" s="99" t="s">
        <v>2088</v>
      </c>
      <c r="B73" s="96" t="s">
        <v>2130</v>
      </c>
      <c r="C73" s="96" t="s">
        <v>2131</v>
      </c>
      <c r="D73" s="96" t="s">
        <v>2132</v>
      </c>
      <c r="E73" s="96" t="s">
        <v>2133</v>
      </c>
      <c r="F73" s="96">
        <v>1974</v>
      </c>
      <c r="G73" s="96" t="s">
        <v>2134</v>
      </c>
      <c r="H73" s="96">
        <v>1</v>
      </c>
      <c r="I73" s="96" t="s">
        <v>1562</v>
      </c>
      <c r="J73" s="96" t="s">
        <v>1562</v>
      </c>
      <c r="K73" s="96">
        <v>153</v>
      </c>
      <c r="L73" s="96">
        <v>159</v>
      </c>
      <c r="M73" s="96">
        <v>6</v>
      </c>
      <c r="N73" s="96">
        <v>0</v>
      </c>
      <c r="O73" s="96" t="s">
        <v>2135</v>
      </c>
      <c r="P73" s="96" t="s">
        <v>2136</v>
      </c>
      <c r="Q73" s="96" t="s">
        <v>2137</v>
      </c>
      <c r="R73" s="96" t="s">
        <v>2138</v>
      </c>
      <c r="S73" s="96" t="s">
        <v>1562</v>
      </c>
      <c r="T73" s="96" t="s">
        <v>226</v>
      </c>
      <c r="U73" s="96" t="s">
        <v>2139</v>
      </c>
    </row>
    <row r="74" spans="1:22">
      <c r="A74" s="55" t="s">
        <v>2088</v>
      </c>
      <c r="B74" s="54" t="s">
        <v>2140</v>
      </c>
      <c r="C74" s="54" t="s">
        <v>2131</v>
      </c>
      <c r="D74" s="54" t="s">
        <v>2132</v>
      </c>
      <c r="E74" s="54" t="s">
        <v>2141</v>
      </c>
      <c r="F74" s="54">
        <v>1974</v>
      </c>
      <c r="G74" s="54" t="s">
        <v>1562</v>
      </c>
      <c r="H74" s="54" t="s">
        <v>1562</v>
      </c>
      <c r="I74" s="54" t="s">
        <v>1562</v>
      </c>
      <c r="J74" s="54" t="s">
        <v>1562</v>
      </c>
      <c r="K74" s="54">
        <v>152</v>
      </c>
      <c r="L74" s="54">
        <v>159</v>
      </c>
      <c r="M74" s="54">
        <v>7</v>
      </c>
      <c r="N74" s="54">
        <v>0</v>
      </c>
      <c r="O74" s="54" t="s">
        <v>1562</v>
      </c>
      <c r="P74" s="54" t="s">
        <v>2142</v>
      </c>
      <c r="Q74" s="54" t="s">
        <v>2137</v>
      </c>
      <c r="R74" s="54" t="s">
        <v>2138</v>
      </c>
      <c r="S74" s="54" t="s">
        <v>1562</v>
      </c>
      <c r="T74" s="54" t="s">
        <v>226</v>
      </c>
      <c r="U74" s="54" t="s">
        <v>2143</v>
      </c>
    </row>
    <row r="75" spans="1:22">
      <c r="A75" s="99" t="s">
        <v>2088</v>
      </c>
      <c r="B75" s="57" t="s">
        <v>2144</v>
      </c>
      <c r="C75" s="96" t="s">
        <v>2145</v>
      </c>
      <c r="D75" s="96" t="s">
        <v>2146</v>
      </c>
      <c r="E75" s="96" t="s">
        <v>2147</v>
      </c>
      <c r="F75" s="96">
        <v>2025</v>
      </c>
      <c r="G75" s="96" t="s">
        <v>2148</v>
      </c>
      <c r="H75" s="96">
        <v>18</v>
      </c>
      <c r="I75" s="96">
        <v>1</v>
      </c>
      <c r="J75" s="96" t="s">
        <v>2149</v>
      </c>
      <c r="K75" s="96" t="s">
        <v>1562</v>
      </c>
      <c r="L75" s="96" t="s">
        <v>1562</v>
      </c>
      <c r="M75" s="96" t="s">
        <v>1562</v>
      </c>
      <c r="N75" s="96">
        <v>0</v>
      </c>
      <c r="O75" s="96" t="s">
        <v>2150</v>
      </c>
      <c r="P75" s="96" t="s">
        <v>2151</v>
      </c>
      <c r="Q75" s="96" t="s">
        <v>2152</v>
      </c>
      <c r="R75" s="96" t="s">
        <v>2138</v>
      </c>
      <c r="S75" s="96" t="s">
        <v>1562</v>
      </c>
      <c r="T75" s="96" t="s">
        <v>226</v>
      </c>
      <c r="U75" s="96" t="s">
        <v>2153</v>
      </c>
    </row>
    <row r="76" spans="1:22">
      <c r="A76" s="99" t="s">
        <v>2088</v>
      </c>
      <c r="B76" s="57" t="s">
        <v>2154</v>
      </c>
      <c r="C76" s="96" t="s">
        <v>2155</v>
      </c>
      <c r="D76" s="96" t="s">
        <v>2156</v>
      </c>
      <c r="E76" s="96" t="s">
        <v>2157</v>
      </c>
      <c r="F76" s="96">
        <v>2009</v>
      </c>
      <c r="G76" s="96" t="s">
        <v>2158</v>
      </c>
      <c r="H76" s="96">
        <v>45</v>
      </c>
      <c r="I76" s="96">
        <v>5</v>
      </c>
      <c r="J76" s="96" t="s">
        <v>1562</v>
      </c>
      <c r="K76" s="96">
        <v>1164</v>
      </c>
      <c r="L76" s="96">
        <v>1178</v>
      </c>
      <c r="M76" s="96">
        <v>14</v>
      </c>
      <c r="N76" s="96">
        <v>37</v>
      </c>
      <c r="O76" s="96" t="s">
        <v>2159</v>
      </c>
      <c r="P76" s="96" t="s">
        <v>2160</v>
      </c>
      <c r="Q76" s="96" t="s">
        <v>2152</v>
      </c>
      <c r="R76" s="96" t="s">
        <v>2138</v>
      </c>
      <c r="S76" s="96" t="s">
        <v>2161</v>
      </c>
      <c r="T76" s="96" t="s">
        <v>226</v>
      </c>
      <c r="U76" s="96" t="s">
        <v>2162</v>
      </c>
    </row>
    <row r="77" spans="1:22">
      <c r="A77" s="99" t="s">
        <v>2088</v>
      </c>
      <c r="B77" s="57" t="s">
        <v>2163</v>
      </c>
      <c r="C77" s="96" t="s">
        <v>2164</v>
      </c>
      <c r="D77" s="96" t="s">
        <v>2165</v>
      </c>
      <c r="E77" s="96" t="s">
        <v>2166</v>
      </c>
      <c r="F77" s="96">
        <v>1987</v>
      </c>
      <c r="G77" s="96" t="s">
        <v>2167</v>
      </c>
      <c r="H77" s="96">
        <v>6</v>
      </c>
      <c r="I77" s="96">
        <v>4</v>
      </c>
      <c r="J77" s="96" t="s">
        <v>1562</v>
      </c>
      <c r="K77" s="96">
        <v>237</v>
      </c>
      <c r="L77" s="96">
        <v>257</v>
      </c>
      <c r="M77" s="96">
        <v>20</v>
      </c>
      <c r="N77" s="96">
        <v>17</v>
      </c>
      <c r="O77" s="96" t="s">
        <v>2168</v>
      </c>
      <c r="P77" s="96" t="s">
        <v>2169</v>
      </c>
      <c r="Q77" s="96" t="s">
        <v>2152</v>
      </c>
      <c r="R77" s="96" t="s">
        <v>2138</v>
      </c>
      <c r="S77" s="96" t="s">
        <v>1562</v>
      </c>
      <c r="T77" s="96" t="s">
        <v>226</v>
      </c>
      <c r="U77" s="96" t="s">
        <v>2170</v>
      </c>
    </row>
    <row r="79" spans="1:22">
      <c r="A79" t="s">
        <v>712</v>
      </c>
    </row>
    <row r="80" spans="1:22">
      <c r="A80" s="8" t="s">
        <v>1979</v>
      </c>
      <c r="B80" s="8" t="s">
        <v>16</v>
      </c>
      <c r="C80" s="8"/>
      <c r="D80" s="8"/>
      <c r="E80" s="8"/>
      <c r="F80" s="8"/>
      <c r="G80" s="8"/>
      <c r="H80" s="8"/>
      <c r="I80" s="8"/>
      <c r="J80" s="8"/>
      <c r="K80" s="8"/>
      <c r="L80" s="8"/>
      <c r="M80" s="8"/>
      <c r="N80" s="8"/>
      <c r="O80" s="8"/>
      <c r="P80" s="8"/>
      <c r="Q80" s="8"/>
      <c r="R80" s="8"/>
      <c r="S80" s="8"/>
      <c r="T80" s="8"/>
      <c r="U80" s="8"/>
      <c r="V80" s="8"/>
    </row>
    <row r="81" spans="1:22">
      <c r="A81" s="8" t="s">
        <v>2091</v>
      </c>
      <c r="B81" s="95" t="s">
        <v>2089</v>
      </c>
      <c r="C81" s="8"/>
      <c r="D81" s="8"/>
      <c r="E81" s="8"/>
      <c r="F81" s="8"/>
      <c r="G81" s="8"/>
      <c r="H81" s="8"/>
      <c r="I81" s="8"/>
      <c r="J81" s="8"/>
      <c r="K81" s="8"/>
      <c r="L81" s="8"/>
      <c r="M81" s="8"/>
      <c r="N81" s="8"/>
      <c r="O81" s="8"/>
      <c r="P81" s="8"/>
      <c r="Q81" s="8"/>
      <c r="R81" s="8"/>
      <c r="S81" s="8"/>
      <c r="T81" s="8"/>
      <c r="U81" s="8"/>
      <c r="V81" s="8"/>
    </row>
    <row r="82" spans="1:22">
      <c r="A82" s="8" t="s">
        <v>2091</v>
      </c>
      <c r="B82" s="94" t="s">
        <v>2171</v>
      </c>
      <c r="C82" s="8"/>
      <c r="D82" s="8"/>
      <c r="E82" s="8"/>
      <c r="F82" s="8"/>
      <c r="G82" s="8"/>
      <c r="H82" s="8"/>
      <c r="I82" s="8"/>
      <c r="J82" s="8"/>
      <c r="K82" s="8"/>
      <c r="L82" s="8"/>
      <c r="M82" s="8"/>
      <c r="N82" s="8"/>
      <c r="O82" s="8"/>
      <c r="P82" s="8"/>
      <c r="Q82" s="8"/>
      <c r="R82" s="8"/>
      <c r="S82" s="8"/>
      <c r="T82" s="8"/>
      <c r="U82" s="8"/>
      <c r="V82" s="8"/>
    </row>
    <row r="83" spans="1:22">
      <c r="A83" s="8" t="s">
        <v>2091</v>
      </c>
      <c r="B83" s="94" t="s">
        <v>2172</v>
      </c>
      <c r="C83" s="8"/>
      <c r="D83" s="8"/>
      <c r="E83" s="8"/>
      <c r="F83" s="8"/>
      <c r="G83" s="8"/>
      <c r="H83" s="8"/>
      <c r="I83" s="8"/>
      <c r="J83" s="8"/>
      <c r="K83" s="8"/>
      <c r="L83" s="8"/>
      <c r="M83" s="8"/>
      <c r="N83" s="8"/>
      <c r="O83" s="8"/>
      <c r="P83" s="8"/>
      <c r="Q83" s="8"/>
      <c r="R83" s="8"/>
      <c r="S83" s="8"/>
      <c r="T83" s="8"/>
      <c r="U83" s="8"/>
      <c r="V83" s="8"/>
    </row>
    <row r="84" spans="1:22">
      <c r="A84" s="8" t="s">
        <v>2091</v>
      </c>
      <c r="B84" s="95" t="s">
        <v>2173</v>
      </c>
      <c r="C84" s="8"/>
      <c r="D84" s="8"/>
      <c r="E84" s="8"/>
      <c r="F84" s="8"/>
      <c r="G84" s="8"/>
      <c r="H84" s="8"/>
      <c r="I84" s="8"/>
      <c r="J84" s="8"/>
      <c r="K84" s="8"/>
      <c r="L84" s="8"/>
      <c r="M84" s="8"/>
      <c r="N84" s="8"/>
      <c r="O84" s="8"/>
      <c r="P84" s="8"/>
      <c r="Q84" s="8"/>
      <c r="R84" s="8"/>
      <c r="S84" s="8"/>
      <c r="T84" s="8"/>
      <c r="U84" s="8"/>
      <c r="V84" s="8"/>
    </row>
    <row r="85" spans="1:22">
      <c r="A85" s="8" t="s">
        <v>2091</v>
      </c>
      <c r="B85" s="94" t="s">
        <v>2174</v>
      </c>
      <c r="C85" s="8"/>
      <c r="D85" s="8"/>
      <c r="E85" s="8"/>
      <c r="F85" s="8"/>
      <c r="G85" s="8"/>
      <c r="H85" s="8"/>
      <c r="I85" s="8"/>
      <c r="J85" s="8"/>
      <c r="K85" s="8"/>
      <c r="L85" s="8"/>
      <c r="M85" s="8"/>
      <c r="N85" s="8"/>
      <c r="O85" s="8"/>
      <c r="P85" s="8"/>
      <c r="Q85" s="8"/>
      <c r="R85" s="8"/>
      <c r="S85" s="8"/>
      <c r="T85" s="8"/>
      <c r="U85" s="8"/>
      <c r="V85" s="8"/>
    </row>
    <row r="86" spans="1:22">
      <c r="A86" s="8" t="s">
        <v>2091</v>
      </c>
      <c r="B86" s="94" t="s">
        <v>2175</v>
      </c>
      <c r="C86" s="8"/>
      <c r="D86" s="8"/>
      <c r="E86" s="8"/>
      <c r="F86" s="8"/>
      <c r="G86" s="8"/>
      <c r="H86" s="8"/>
      <c r="I86" s="8"/>
      <c r="J86" s="8"/>
      <c r="K86" s="8"/>
      <c r="L86" s="8"/>
      <c r="M86" s="8"/>
      <c r="N86" s="8"/>
      <c r="O86" s="8"/>
      <c r="P86" s="8"/>
      <c r="Q86" s="8"/>
      <c r="R86" s="8"/>
      <c r="S86" s="8"/>
      <c r="T86" s="8"/>
      <c r="U86" s="8"/>
      <c r="V86" s="8"/>
    </row>
    <row r="87" spans="1:22">
      <c r="A87" s="8" t="s">
        <v>2091</v>
      </c>
      <c r="B87" s="94" t="s">
        <v>2176</v>
      </c>
      <c r="C87" s="8"/>
      <c r="D87" s="8"/>
      <c r="E87" s="8"/>
      <c r="F87" s="8"/>
      <c r="G87" s="8"/>
      <c r="H87" s="8"/>
      <c r="I87" s="8"/>
      <c r="J87" s="8"/>
      <c r="K87" s="8"/>
      <c r="L87" s="8"/>
      <c r="M87" s="8"/>
      <c r="N87" s="8"/>
      <c r="O87" s="8"/>
      <c r="P87" s="8"/>
      <c r="Q87" s="8"/>
      <c r="R87" s="8"/>
      <c r="S87" s="8"/>
      <c r="T87" s="8"/>
      <c r="U87" s="8"/>
      <c r="V87" s="8"/>
    </row>
    <row r="88" spans="1:22">
      <c r="A88" s="8" t="s">
        <v>2091</v>
      </c>
      <c r="B88" s="95" t="s">
        <v>2177</v>
      </c>
      <c r="C88" s="8"/>
      <c r="D88" s="8"/>
      <c r="E88" s="8"/>
      <c r="F88" s="8"/>
      <c r="G88" s="8"/>
      <c r="H88" s="8"/>
      <c r="I88" s="8"/>
      <c r="J88" s="8"/>
      <c r="K88" s="8"/>
      <c r="L88" s="8"/>
      <c r="M88" s="8"/>
      <c r="N88" s="8"/>
      <c r="O88" s="8"/>
      <c r="P88" s="8"/>
      <c r="Q88" s="8"/>
      <c r="R88" s="8"/>
      <c r="S88" s="8"/>
      <c r="T88" s="8"/>
      <c r="U88" s="8"/>
      <c r="V88" s="8"/>
    </row>
    <row r="89" spans="1:22">
      <c r="A89" s="8" t="s">
        <v>2091</v>
      </c>
      <c r="B89" s="95" t="s">
        <v>2090</v>
      </c>
      <c r="C89" s="8"/>
      <c r="D89" s="8"/>
      <c r="E89" s="8"/>
      <c r="F89" s="8"/>
      <c r="G89" s="8"/>
      <c r="H89" s="8"/>
      <c r="I89" s="8"/>
      <c r="J89" s="8"/>
      <c r="K89" s="8"/>
      <c r="L89" s="8"/>
      <c r="M89" s="8"/>
      <c r="N89" s="8"/>
      <c r="O89" s="8"/>
      <c r="P89" s="8"/>
      <c r="Q89" s="8"/>
      <c r="R89" s="8"/>
      <c r="S89" s="8"/>
      <c r="T89" s="8"/>
      <c r="U89" s="8"/>
      <c r="V89" s="8"/>
    </row>
    <row r="90" spans="1:22">
      <c r="A90" s="8" t="s">
        <v>2091</v>
      </c>
      <c r="B90" s="95" t="s">
        <v>2178</v>
      </c>
      <c r="C90" s="8"/>
      <c r="D90" s="8"/>
      <c r="E90" s="8"/>
      <c r="F90" s="8"/>
      <c r="G90" s="8"/>
      <c r="H90" s="8"/>
      <c r="I90" s="8"/>
      <c r="J90" s="8"/>
      <c r="K90" s="8"/>
      <c r="L90" s="8"/>
      <c r="M90" s="8"/>
      <c r="N90" s="8"/>
      <c r="O90" s="8"/>
      <c r="P90" s="8"/>
      <c r="Q90" s="8"/>
      <c r="R90" s="8"/>
      <c r="S90" s="8"/>
      <c r="T90" s="8"/>
      <c r="U90" s="8"/>
      <c r="V90" s="8"/>
    </row>
    <row r="91" spans="1:22">
      <c r="A91" s="8" t="s">
        <v>2091</v>
      </c>
      <c r="B91" s="94" t="s">
        <v>2179</v>
      </c>
      <c r="C91" s="8"/>
      <c r="D91" s="8"/>
      <c r="E91" s="8"/>
      <c r="F91" s="8"/>
      <c r="G91" s="8"/>
      <c r="H91" s="8"/>
      <c r="I91" s="8"/>
      <c r="J91" s="8"/>
      <c r="K91" s="8"/>
      <c r="L91" s="8"/>
      <c r="M91" s="8"/>
      <c r="N91" s="8"/>
      <c r="O91" s="8"/>
      <c r="P91" s="8"/>
      <c r="Q91" s="8"/>
      <c r="R91" s="8"/>
      <c r="S91" s="8"/>
      <c r="T91" s="8"/>
      <c r="U91" s="8"/>
      <c r="V91" s="8"/>
    </row>
    <row r="92" spans="1:22">
      <c r="A92" s="8" t="s">
        <v>2091</v>
      </c>
      <c r="B92" s="94" t="s">
        <v>2180</v>
      </c>
      <c r="C92" s="8"/>
      <c r="D92" s="8"/>
      <c r="E92" s="8"/>
      <c r="F92" s="8"/>
      <c r="G92" s="8"/>
      <c r="H92" s="8"/>
      <c r="I92" s="8"/>
      <c r="J92" s="8"/>
      <c r="K92" s="8"/>
      <c r="L92" s="8"/>
      <c r="M92" s="8"/>
      <c r="N92" s="8"/>
      <c r="O92" s="8"/>
      <c r="P92" s="8"/>
      <c r="Q92" s="8"/>
      <c r="R92" s="8"/>
      <c r="S92" s="8"/>
      <c r="T92" s="8"/>
      <c r="U92" s="8"/>
      <c r="V92" s="8"/>
    </row>
    <row r="93" spans="1:22">
      <c r="A93" s="8" t="s">
        <v>2091</v>
      </c>
      <c r="B93" s="94" t="s">
        <v>2181</v>
      </c>
      <c r="C93" s="8"/>
      <c r="D93" s="8"/>
      <c r="E93" s="8"/>
      <c r="F93" s="8"/>
      <c r="G93" s="8"/>
      <c r="H93" s="8"/>
      <c r="I93" s="8"/>
      <c r="J93" s="8"/>
      <c r="K93" s="8"/>
      <c r="L93" s="8"/>
      <c r="M93" s="8"/>
      <c r="N93" s="8"/>
      <c r="O93" s="8"/>
      <c r="P93" s="8"/>
      <c r="Q93" s="8"/>
      <c r="R93" s="8"/>
      <c r="S93" s="8"/>
      <c r="T93" s="8"/>
      <c r="U93" s="8"/>
      <c r="V93" s="8"/>
    </row>
    <row r="94" spans="1:22">
      <c r="A94" s="8" t="s">
        <v>2091</v>
      </c>
      <c r="B94" s="94" t="s">
        <v>2182</v>
      </c>
      <c r="C94" s="8"/>
      <c r="D94" s="8"/>
      <c r="E94" s="8"/>
      <c r="F94" s="8"/>
      <c r="G94" s="8"/>
      <c r="H94" s="8"/>
      <c r="I94" s="8"/>
      <c r="J94" s="8"/>
      <c r="K94" s="8"/>
      <c r="L94" s="8"/>
      <c r="M94" s="8"/>
      <c r="N94" s="8"/>
      <c r="O94" s="8"/>
      <c r="P94" s="8"/>
      <c r="Q94" s="8"/>
      <c r="R94" s="8"/>
      <c r="S94" s="8"/>
      <c r="T94" s="8"/>
      <c r="U94" s="8"/>
      <c r="V94" s="8"/>
    </row>
    <row r="95" spans="1:22">
      <c r="A95" s="8" t="s">
        <v>2091</v>
      </c>
      <c r="B95" s="94" t="s">
        <v>2183</v>
      </c>
      <c r="C95" s="8"/>
      <c r="D95" s="8"/>
      <c r="E95" s="8"/>
      <c r="F95" s="8"/>
      <c r="G95" s="8"/>
      <c r="H95" s="8"/>
      <c r="I95" s="8"/>
      <c r="J95" s="8"/>
      <c r="K95" s="8"/>
      <c r="L95" s="8"/>
      <c r="M95" s="8"/>
      <c r="N95" s="8"/>
      <c r="O95" s="8"/>
      <c r="P95" s="8"/>
      <c r="Q95" s="8"/>
      <c r="R95" s="8"/>
      <c r="S95" s="8"/>
      <c r="T95" s="8"/>
      <c r="U95" s="8"/>
      <c r="V95" s="8"/>
    </row>
    <row r="96" spans="1:22">
      <c r="A96" s="8" t="s">
        <v>2091</v>
      </c>
      <c r="B96" s="94" t="s">
        <v>2184</v>
      </c>
      <c r="C96" s="8"/>
      <c r="D96" s="8"/>
      <c r="E96" s="8"/>
      <c r="F96" s="8"/>
      <c r="G96" s="8"/>
      <c r="H96" s="8"/>
      <c r="I96" s="8"/>
      <c r="J96" s="8"/>
      <c r="K96" s="8"/>
      <c r="L96" s="8"/>
      <c r="M96" s="8"/>
      <c r="N96" s="8"/>
      <c r="O96" s="8"/>
      <c r="P96" s="8"/>
      <c r="Q96" s="8"/>
      <c r="R96" s="8"/>
      <c r="S96" s="8"/>
      <c r="T96" s="8"/>
      <c r="U96" s="8"/>
      <c r="V96" s="8"/>
    </row>
    <row r="97" spans="1:22">
      <c r="A97" s="8" t="s">
        <v>2091</v>
      </c>
      <c r="B97" s="95" t="s">
        <v>2185</v>
      </c>
      <c r="C97" s="8"/>
      <c r="D97" s="8"/>
      <c r="E97" s="8"/>
      <c r="F97" s="8"/>
      <c r="G97" s="8"/>
      <c r="H97" s="8"/>
      <c r="I97" s="8"/>
      <c r="J97" s="8"/>
      <c r="K97" s="8"/>
      <c r="L97" s="8"/>
      <c r="M97" s="8"/>
      <c r="N97" s="8"/>
      <c r="O97" s="8"/>
      <c r="P97" s="8"/>
      <c r="Q97" s="8"/>
      <c r="R97" s="8"/>
      <c r="S97" s="8"/>
      <c r="T97" s="8"/>
      <c r="U97" s="8"/>
      <c r="V97" s="8"/>
    </row>
    <row r="98" spans="1:22">
      <c r="A98" s="8" t="s">
        <v>2091</v>
      </c>
      <c r="B98" s="94" t="s">
        <v>2186</v>
      </c>
      <c r="C98" s="8"/>
      <c r="D98" s="8"/>
      <c r="E98" s="8"/>
      <c r="F98" s="8"/>
      <c r="G98" s="8"/>
      <c r="H98" s="8"/>
      <c r="I98" s="8"/>
      <c r="J98" s="8"/>
      <c r="K98" s="8"/>
      <c r="L98" s="8"/>
      <c r="M98" s="8"/>
      <c r="N98" s="8"/>
      <c r="O98" s="8"/>
      <c r="P98" s="8"/>
      <c r="Q98" s="8"/>
      <c r="R98" s="8"/>
      <c r="S98" s="8"/>
      <c r="T98" s="8"/>
      <c r="U98" s="8"/>
      <c r="V98" s="8"/>
    </row>
    <row r="99" spans="1:22">
      <c r="A99" s="8" t="s">
        <v>2091</v>
      </c>
      <c r="B99" s="94" t="s">
        <v>2187</v>
      </c>
      <c r="C99" s="8"/>
      <c r="D99" s="8"/>
      <c r="E99" s="8"/>
      <c r="F99" s="8"/>
      <c r="G99" s="8"/>
      <c r="H99" s="8"/>
      <c r="I99" s="8"/>
      <c r="J99" s="8"/>
      <c r="K99" s="8"/>
      <c r="L99" s="8"/>
      <c r="M99" s="8"/>
      <c r="N99" s="8"/>
      <c r="O99" s="8"/>
      <c r="P99" s="8"/>
      <c r="Q99" s="8"/>
      <c r="R99" s="8"/>
      <c r="S99" s="8"/>
      <c r="T99" s="8"/>
      <c r="U99" s="8"/>
      <c r="V99" s="8"/>
    </row>
    <row r="100" spans="1:22">
      <c r="A100" s="8" t="s">
        <v>2091</v>
      </c>
      <c r="B100" s="94" t="s">
        <v>2188</v>
      </c>
      <c r="C100" s="8"/>
      <c r="D100" s="8"/>
      <c r="E100" s="8"/>
      <c r="F100" s="8"/>
      <c r="G100" s="8"/>
      <c r="H100" s="8"/>
      <c r="I100" s="8"/>
      <c r="J100" s="8"/>
      <c r="K100" s="8"/>
      <c r="L100" s="8"/>
      <c r="M100" s="8"/>
      <c r="N100" s="8"/>
      <c r="O100" s="8"/>
      <c r="P100" s="8"/>
      <c r="Q100" s="8"/>
      <c r="R100" s="8"/>
      <c r="S100" s="8"/>
      <c r="T100" s="8"/>
      <c r="U100" s="8"/>
      <c r="V100" s="8"/>
    </row>
    <row r="101" spans="1:22">
      <c r="A101" s="8" t="s">
        <v>2091</v>
      </c>
      <c r="B101" s="94" t="s">
        <v>2189</v>
      </c>
      <c r="C101" s="8"/>
      <c r="D101" s="8"/>
      <c r="E101" s="8"/>
      <c r="F101" s="8"/>
      <c r="G101" s="8"/>
      <c r="H101" s="8"/>
      <c r="I101" s="8"/>
      <c r="J101" s="8"/>
      <c r="K101" s="8"/>
      <c r="L101" s="8"/>
      <c r="M101" s="8"/>
      <c r="N101" s="8"/>
      <c r="O101" s="8"/>
      <c r="P101" s="8"/>
      <c r="Q101" s="8"/>
      <c r="R101" s="8"/>
      <c r="S101" s="8"/>
      <c r="T101" s="8"/>
      <c r="U101" s="8"/>
      <c r="V101" s="8"/>
    </row>
    <row r="102" spans="1:22">
      <c r="A102" s="8" t="s">
        <v>2091</v>
      </c>
      <c r="B102" s="94" t="s">
        <v>2190</v>
      </c>
      <c r="C102" s="8"/>
      <c r="D102" s="8"/>
      <c r="E102" s="8"/>
      <c r="F102" s="8"/>
      <c r="G102" s="8"/>
      <c r="H102" s="8"/>
      <c r="I102" s="8"/>
      <c r="J102" s="8"/>
      <c r="K102" s="8"/>
      <c r="L102" s="8"/>
      <c r="M102" s="8"/>
      <c r="N102" s="8"/>
      <c r="O102" s="8"/>
      <c r="P102" s="8"/>
      <c r="Q102" s="8"/>
      <c r="R102" s="8"/>
      <c r="S102" s="8"/>
      <c r="T102" s="8"/>
      <c r="U102" s="8"/>
      <c r="V102" s="8"/>
    </row>
    <row r="103" spans="1:22">
      <c r="A103" s="8" t="s">
        <v>2091</v>
      </c>
      <c r="B103" s="94" t="s">
        <v>2191</v>
      </c>
      <c r="C103" s="8"/>
      <c r="D103" s="8"/>
      <c r="E103" s="8"/>
      <c r="F103" s="8"/>
      <c r="G103" s="8"/>
      <c r="H103" s="8"/>
      <c r="I103" s="8"/>
      <c r="J103" s="8"/>
      <c r="K103" s="8"/>
      <c r="L103" s="8"/>
      <c r="M103" s="8"/>
      <c r="N103" s="8"/>
      <c r="O103" s="8"/>
      <c r="P103" s="8"/>
      <c r="Q103" s="8"/>
      <c r="R103" s="8"/>
      <c r="S103" s="8"/>
      <c r="T103" s="8"/>
      <c r="U103" s="8"/>
      <c r="V103" s="8"/>
    </row>
    <row r="104" spans="1:22">
      <c r="A104" s="8" t="s">
        <v>2091</v>
      </c>
      <c r="B104" s="94" t="s">
        <v>2192</v>
      </c>
      <c r="C104" s="8"/>
      <c r="D104" s="8"/>
      <c r="E104" s="8"/>
      <c r="F104" s="8"/>
      <c r="G104" s="8"/>
      <c r="H104" s="8"/>
      <c r="I104" s="8"/>
      <c r="J104" s="8"/>
      <c r="K104" s="8"/>
      <c r="L104" s="8"/>
      <c r="M104" s="8"/>
      <c r="N104" s="8"/>
      <c r="O104" s="8"/>
      <c r="P104" s="8"/>
      <c r="Q104" s="8"/>
      <c r="R104" s="8"/>
      <c r="S104" s="8"/>
      <c r="T104" s="8"/>
      <c r="U104" s="8"/>
      <c r="V104" s="8"/>
    </row>
    <row r="105" spans="1:22">
      <c r="A105" s="8" t="s">
        <v>2091</v>
      </c>
      <c r="B105" s="94" t="s">
        <v>2193</v>
      </c>
      <c r="C105" s="8"/>
      <c r="D105" s="8"/>
      <c r="E105" s="8"/>
      <c r="F105" s="8"/>
      <c r="G105" s="8"/>
      <c r="H105" s="8"/>
      <c r="I105" s="8"/>
      <c r="J105" s="8"/>
      <c r="K105" s="8"/>
      <c r="L105" s="8"/>
      <c r="M105" s="8"/>
      <c r="N105" s="8"/>
      <c r="O105" s="8"/>
      <c r="P105" s="8"/>
      <c r="Q105" s="8"/>
      <c r="R105" s="8"/>
      <c r="S105" s="8"/>
      <c r="T105" s="8"/>
      <c r="U105" s="8"/>
      <c r="V105" s="8"/>
    </row>
    <row r="106" spans="1:22">
      <c r="A106" s="8"/>
      <c r="B106" s="8"/>
      <c r="C106" s="8"/>
      <c r="D106" s="8"/>
      <c r="E106" s="8"/>
      <c r="F106" s="8"/>
      <c r="G106" s="8"/>
      <c r="H106" s="8"/>
      <c r="I106" s="8"/>
      <c r="J106" s="8"/>
      <c r="K106" s="8"/>
      <c r="L106" s="8"/>
      <c r="M106" s="8"/>
      <c r="N106" s="8"/>
      <c r="O106" s="8"/>
      <c r="P106" s="8"/>
      <c r="Q106" s="8"/>
      <c r="R106" s="8"/>
      <c r="S106" s="8"/>
      <c r="T106" s="8"/>
      <c r="U106" s="8"/>
      <c r="V106" s="8"/>
    </row>
    <row r="107" spans="1:22">
      <c r="A107" s="8"/>
      <c r="B107" s="8" t="s">
        <v>975</v>
      </c>
      <c r="C107" s="8" t="s">
        <v>976</v>
      </c>
      <c r="D107" s="8" t="s">
        <v>977</v>
      </c>
      <c r="E107" s="8" t="s">
        <v>978</v>
      </c>
      <c r="F107" s="8" t="s">
        <v>979</v>
      </c>
      <c r="G107" s="8" t="s">
        <v>981</v>
      </c>
      <c r="H107" s="8" t="s">
        <v>2118</v>
      </c>
      <c r="I107" s="8" t="s">
        <v>2119</v>
      </c>
      <c r="J107" s="8" t="s">
        <v>2120</v>
      </c>
      <c r="K107" s="8" t="s">
        <v>2121</v>
      </c>
      <c r="L107" s="8" t="s">
        <v>2122</v>
      </c>
      <c r="M107" s="8" t="s">
        <v>2123</v>
      </c>
      <c r="N107" s="8" t="s">
        <v>2124</v>
      </c>
      <c r="O107" s="8" t="s">
        <v>2125</v>
      </c>
      <c r="P107" s="8" t="s">
        <v>982</v>
      </c>
      <c r="Q107" s="8" t="s">
        <v>2126</v>
      </c>
      <c r="R107" s="8" t="s">
        <v>2127</v>
      </c>
      <c r="S107" s="8" t="s">
        <v>2128</v>
      </c>
      <c r="T107" s="8" t="s">
        <v>980</v>
      </c>
      <c r="U107" s="8" t="s">
        <v>2129</v>
      </c>
      <c r="V107" s="8"/>
    </row>
    <row r="108" spans="1:22">
      <c r="A108" s="95" t="s">
        <v>1562</v>
      </c>
      <c r="B108" s="95" t="s">
        <v>2194</v>
      </c>
      <c r="C108" s="95" t="s">
        <v>2195</v>
      </c>
      <c r="D108" s="95" t="s">
        <v>2196</v>
      </c>
      <c r="E108" s="95" t="s">
        <v>2197</v>
      </c>
      <c r="F108" s="95">
        <v>2023</v>
      </c>
      <c r="G108" s="95" t="s">
        <v>2198</v>
      </c>
      <c r="H108" s="95">
        <v>132</v>
      </c>
      <c r="I108" s="95">
        <v>1</v>
      </c>
      <c r="J108" s="95">
        <v>41</v>
      </c>
      <c r="K108" s="95" t="s">
        <v>1562</v>
      </c>
      <c r="L108" s="95" t="s">
        <v>1562</v>
      </c>
      <c r="M108" s="95" t="s">
        <v>1562</v>
      </c>
      <c r="N108" s="95">
        <v>3</v>
      </c>
      <c r="O108" s="95" t="s">
        <v>2199</v>
      </c>
      <c r="P108" s="95" t="s">
        <v>2200</v>
      </c>
      <c r="Q108" s="95" t="s">
        <v>2152</v>
      </c>
      <c r="R108" s="95" t="s">
        <v>2138</v>
      </c>
      <c r="S108" s="95" t="s">
        <v>1562</v>
      </c>
      <c r="T108" s="95" t="s">
        <v>226</v>
      </c>
      <c r="U108" s="95" t="s">
        <v>2201</v>
      </c>
      <c r="V108" s="95" t="s">
        <v>1562</v>
      </c>
    </row>
    <row r="109" spans="1:22">
      <c r="A109" s="95" t="s">
        <v>1562</v>
      </c>
      <c r="B109" s="95" t="s">
        <v>2202</v>
      </c>
      <c r="C109" s="95" t="s">
        <v>2203</v>
      </c>
      <c r="D109" s="95" t="s">
        <v>2204</v>
      </c>
      <c r="E109" s="95" t="s">
        <v>2205</v>
      </c>
      <c r="F109" s="95">
        <v>2018</v>
      </c>
      <c r="G109" s="95" t="s">
        <v>2206</v>
      </c>
      <c r="H109" s="95"/>
      <c r="I109" s="95" t="s">
        <v>1562</v>
      </c>
      <c r="J109" s="95" t="s">
        <v>1562</v>
      </c>
      <c r="K109" s="95">
        <v>139</v>
      </c>
      <c r="L109" s="95">
        <v>149</v>
      </c>
      <c r="M109" s="95">
        <v>10</v>
      </c>
      <c r="N109" s="95">
        <v>2</v>
      </c>
      <c r="O109" s="95" t="s">
        <v>1562</v>
      </c>
      <c r="P109" s="95" t="s">
        <v>2207</v>
      </c>
      <c r="Q109" s="95" t="s">
        <v>2137</v>
      </c>
      <c r="R109" s="95" t="s">
        <v>2138</v>
      </c>
      <c r="S109" s="95" t="s">
        <v>1562</v>
      </c>
      <c r="T109" s="95" t="s">
        <v>226</v>
      </c>
      <c r="U109" s="95" t="s">
        <v>2208</v>
      </c>
      <c r="V109" s="95" t="s">
        <v>1562</v>
      </c>
    </row>
    <row r="110" spans="1:22">
      <c r="A110" s="95" t="s">
        <v>1562</v>
      </c>
      <c r="B110" s="95" t="s">
        <v>2209</v>
      </c>
      <c r="C110" s="95" t="s">
        <v>2210</v>
      </c>
      <c r="D110" s="95" t="s">
        <v>2211</v>
      </c>
      <c r="E110" s="95" t="s">
        <v>2212</v>
      </c>
      <c r="F110" s="95">
        <v>2010</v>
      </c>
      <c r="G110" s="95" t="s">
        <v>2213</v>
      </c>
      <c r="H110" s="95">
        <v>7661</v>
      </c>
      <c r="I110" s="95" t="s">
        <v>1562</v>
      </c>
      <c r="J110" s="95">
        <v>766106</v>
      </c>
      <c r="K110" s="95" t="s">
        <v>1562</v>
      </c>
      <c r="L110" s="95" t="s">
        <v>1562</v>
      </c>
      <c r="M110" s="95" t="s">
        <v>1562</v>
      </c>
      <c r="N110" s="95">
        <v>5</v>
      </c>
      <c r="O110" s="95" t="s">
        <v>2214</v>
      </c>
      <c r="P110" s="95" t="s">
        <v>2215</v>
      </c>
      <c r="Q110" s="95" t="s">
        <v>2137</v>
      </c>
      <c r="R110" s="95" t="s">
        <v>2138</v>
      </c>
      <c r="S110" s="95" t="s">
        <v>1562</v>
      </c>
      <c r="T110" s="95" t="s">
        <v>226</v>
      </c>
      <c r="U110" s="95" t="s">
        <v>2216</v>
      </c>
      <c r="V110" s="95" t="s">
        <v>1562</v>
      </c>
    </row>
    <row r="111" spans="1:22">
      <c r="A111" s="95" t="s">
        <v>1562</v>
      </c>
      <c r="B111" s="95" t="s">
        <v>2217</v>
      </c>
      <c r="C111" s="95" t="s">
        <v>2218</v>
      </c>
      <c r="D111" s="95" t="s">
        <v>2219</v>
      </c>
      <c r="E111" s="95" t="s">
        <v>2220</v>
      </c>
      <c r="F111" s="95">
        <v>2023</v>
      </c>
      <c r="G111" s="95" t="s">
        <v>2221</v>
      </c>
      <c r="H111" s="95"/>
      <c r="I111" s="95" t="s">
        <v>1562</v>
      </c>
      <c r="J111" s="95" t="s">
        <v>1562</v>
      </c>
      <c r="K111" s="95">
        <v>127</v>
      </c>
      <c r="L111" s="95">
        <v>134</v>
      </c>
      <c r="M111" s="95">
        <v>7</v>
      </c>
      <c r="N111" s="95">
        <v>0</v>
      </c>
      <c r="O111" s="95" t="s">
        <v>2222</v>
      </c>
      <c r="P111" s="95" t="s">
        <v>2223</v>
      </c>
      <c r="Q111" s="95" t="s">
        <v>2137</v>
      </c>
      <c r="R111" s="95" t="s">
        <v>2138</v>
      </c>
      <c r="S111" s="95" t="s">
        <v>1562</v>
      </c>
      <c r="T111" s="95" t="s">
        <v>226</v>
      </c>
      <c r="U111" s="95" t="s">
        <v>2224</v>
      </c>
      <c r="V111" s="95" t="s">
        <v>1562</v>
      </c>
    </row>
    <row r="112" spans="1:22">
      <c r="A112" s="95" t="s">
        <v>1562</v>
      </c>
      <c r="B112" s="95" t="s">
        <v>2225</v>
      </c>
      <c r="C112" s="95" t="s">
        <v>2226</v>
      </c>
      <c r="D112" s="95" t="s">
        <v>2227</v>
      </c>
      <c r="E112" s="95" t="s">
        <v>2228</v>
      </c>
      <c r="F112" s="95">
        <v>2011</v>
      </c>
      <c r="G112" s="95" t="s">
        <v>2229</v>
      </c>
      <c r="H112" s="95">
        <v>65</v>
      </c>
      <c r="I112" s="95">
        <v>1</v>
      </c>
      <c r="J112" s="95" t="s">
        <v>1562</v>
      </c>
      <c r="K112" s="95">
        <v>25</v>
      </c>
      <c r="L112" s="95">
        <v>42</v>
      </c>
      <c r="M112" s="95">
        <v>17</v>
      </c>
      <c r="N112" s="95">
        <v>25</v>
      </c>
      <c r="O112" s="95" t="s">
        <v>2230</v>
      </c>
      <c r="P112" s="95" t="s">
        <v>2231</v>
      </c>
      <c r="Q112" s="95" t="s">
        <v>2152</v>
      </c>
      <c r="R112" s="95" t="s">
        <v>2138</v>
      </c>
      <c r="S112" s="95" t="s">
        <v>2161</v>
      </c>
      <c r="T112" s="95" t="s">
        <v>226</v>
      </c>
      <c r="U112" s="95" t="s">
        <v>2232</v>
      </c>
      <c r="V112" s="95" t="s">
        <v>1562</v>
      </c>
    </row>
    <row r="113" spans="1:22">
      <c r="A113" s="95" t="s">
        <v>1562</v>
      </c>
      <c r="B113" s="95" t="s">
        <v>2233</v>
      </c>
      <c r="C113" s="95" t="s">
        <v>2234</v>
      </c>
      <c r="D113" s="95" t="s">
        <v>2235</v>
      </c>
      <c r="E113" s="95" t="s">
        <v>2236</v>
      </c>
      <c r="F113" s="95">
        <v>2021</v>
      </c>
      <c r="G113" s="95" t="s">
        <v>2237</v>
      </c>
      <c r="H113" s="95">
        <v>12</v>
      </c>
      <c r="I113" s="95">
        <v>3</v>
      </c>
      <c r="J113" s="95" t="s">
        <v>1562</v>
      </c>
      <c r="K113" s="95">
        <v>461</v>
      </c>
      <c r="L113" s="95">
        <v>471</v>
      </c>
      <c r="M113" s="95">
        <v>10</v>
      </c>
      <c r="N113" s="95">
        <v>5</v>
      </c>
      <c r="O113" s="95" t="s">
        <v>2238</v>
      </c>
      <c r="P113" s="95" t="s">
        <v>2239</v>
      </c>
      <c r="Q113" s="95" t="s">
        <v>2152</v>
      </c>
      <c r="R113" s="95" t="s">
        <v>2138</v>
      </c>
      <c r="S113" s="95" t="s">
        <v>2240</v>
      </c>
      <c r="T113" s="95" t="s">
        <v>226</v>
      </c>
      <c r="U113" s="95" t="s">
        <v>2241</v>
      </c>
      <c r="V113" s="95" t="s">
        <v>1562</v>
      </c>
    </row>
    <row r="114" spans="1:22">
      <c r="A114" s="95" t="s">
        <v>1562</v>
      </c>
      <c r="B114" s="95" t="s">
        <v>2242</v>
      </c>
      <c r="C114" s="95" t="s">
        <v>2243</v>
      </c>
      <c r="D114" s="95" t="s">
        <v>2244</v>
      </c>
      <c r="E114" s="95" t="s">
        <v>2245</v>
      </c>
      <c r="F114" s="95">
        <v>2014</v>
      </c>
      <c r="G114" s="95" t="s">
        <v>2246</v>
      </c>
      <c r="H114" s="95" t="s">
        <v>2247</v>
      </c>
      <c r="I114" s="95" t="s">
        <v>1562</v>
      </c>
      <c r="J114" s="95" t="s">
        <v>1562</v>
      </c>
      <c r="K114" s="95">
        <v>1336</v>
      </c>
      <c r="L114" s="95">
        <v>1342</v>
      </c>
      <c r="M114" s="95">
        <v>6</v>
      </c>
      <c r="N114" s="95">
        <v>0</v>
      </c>
      <c r="O114" s="95" t="s">
        <v>2248</v>
      </c>
      <c r="P114" s="39" t="s">
        <v>2249</v>
      </c>
      <c r="Q114" s="95" t="s">
        <v>2137</v>
      </c>
      <c r="R114" s="95" t="s">
        <v>2138</v>
      </c>
      <c r="S114" s="95" t="s">
        <v>1562</v>
      </c>
      <c r="T114" s="95" t="s">
        <v>226</v>
      </c>
      <c r="U114" s="95" t="s">
        <v>2250</v>
      </c>
      <c r="V114" s="95" t="s">
        <v>1562</v>
      </c>
    </row>
    <row r="115" spans="1:22">
      <c r="A115" s="95" t="s">
        <v>1562</v>
      </c>
      <c r="B115" s="95" t="s">
        <v>2251</v>
      </c>
      <c r="C115" s="95" t="s">
        <v>2252</v>
      </c>
      <c r="D115" s="95" t="s">
        <v>2253</v>
      </c>
      <c r="E115" s="95" t="s">
        <v>2254</v>
      </c>
      <c r="F115" s="95">
        <v>2022</v>
      </c>
      <c r="G115" s="95" t="s">
        <v>2255</v>
      </c>
      <c r="H115" s="95">
        <v>12</v>
      </c>
      <c r="I115" s="95">
        <v>10</v>
      </c>
      <c r="J115" s="95">
        <v>1564</v>
      </c>
      <c r="K115" s="95" t="s">
        <v>1562</v>
      </c>
      <c r="L115" s="95" t="s">
        <v>1562</v>
      </c>
      <c r="M115" s="95" t="s">
        <v>1562</v>
      </c>
      <c r="N115" s="95">
        <v>6</v>
      </c>
      <c r="O115" s="95" t="s">
        <v>2256</v>
      </c>
      <c r="P115" s="95" t="s">
        <v>2257</v>
      </c>
      <c r="Q115" s="95" t="s">
        <v>2152</v>
      </c>
      <c r="R115" s="95" t="s">
        <v>2138</v>
      </c>
      <c r="S115" s="95" t="s">
        <v>2240</v>
      </c>
      <c r="T115" s="95" t="s">
        <v>226</v>
      </c>
      <c r="U115" s="95" t="s">
        <v>2258</v>
      </c>
      <c r="V115" s="95" t="s">
        <v>1562</v>
      </c>
    </row>
    <row r="116" spans="1:22">
      <c r="A116" s="95" t="s">
        <v>1562</v>
      </c>
      <c r="B116" s="95" t="s">
        <v>2259</v>
      </c>
      <c r="C116" s="95" t="s">
        <v>2260</v>
      </c>
      <c r="D116" s="95" t="s">
        <v>2261</v>
      </c>
      <c r="E116" s="95" t="s">
        <v>2262</v>
      </c>
      <c r="F116" s="95">
        <v>2015</v>
      </c>
      <c r="G116" s="95" t="s">
        <v>2263</v>
      </c>
      <c r="H116" s="95">
        <v>116</v>
      </c>
      <c r="I116" s="95" t="s">
        <v>1562</v>
      </c>
      <c r="J116" s="95" t="s">
        <v>1562</v>
      </c>
      <c r="K116" s="95">
        <v>63</v>
      </c>
      <c r="L116" s="95">
        <v>70</v>
      </c>
      <c r="M116" s="95">
        <v>7</v>
      </c>
      <c r="N116" s="95">
        <v>25</v>
      </c>
      <c r="O116" s="95" t="s">
        <v>2264</v>
      </c>
      <c r="P116" s="39" t="s">
        <v>2265</v>
      </c>
      <c r="Q116" s="95" t="s">
        <v>2152</v>
      </c>
      <c r="R116" s="95" t="s">
        <v>2138</v>
      </c>
      <c r="S116" s="95" t="s">
        <v>1562</v>
      </c>
      <c r="T116" s="95" t="s">
        <v>226</v>
      </c>
      <c r="U116" s="95" t="s">
        <v>2266</v>
      </c>
      <c r="V116" s="95" t="s">
        <v>1562</v>
      </c>
    </row>
    <row r="117" spans="1:22">
      <c r="A117" s="95" t="s">
        <v>1562</v>
      </c>
      <c r="B117" s="95" t="s">
        <v>2267</v>
      </c>
      <c r="C117" s="95" t="s">
        <v>2268</v>
      </c>
      <c r="D117" s="95" t="s">
        <v>2269</v>
      </c>
      <c r="E117" s="95" t="s">
        <v>2270</v>
      </c>
      <c r="F117" s="95">
        <v>2018</v>
      </c>
      <c r="G117" s="95" t="s">
        <v>1470</v>
      </c>
      <c r="H117" s="95">
        <v>63</v>
      </c>
      <c r="I117" s="95">
        <v>6</v>
      </c>
      <c r="J117" s="95" t="s">
        <v>1562</v>
      </c>
      <c r="K117" s="95">
        <v>2337</v>
      </c>
      <c r="L117" s="95">
        <v>2358</v>
      </c>
      <c r="M117" s="95">
        <v>21</v>
      </c>
      <c r="N117" s="95">
        <v>38</v>
      </c>
      <c r="O117" s="95" t="s">
        <v>2271</v>
      </c>
      <c r="P117" s="39" t="s">
        <v>2272</v>
      </c>
      <c r="Q117" s="95" t="s">
        <v>2152</v>
      </c>
      <c r="R117" s="95" t="s">
        <v>2138</v>
      </c>
      <c r="S117" s="95" t="s">
        <v>2273</v>
      </c>
      <c r="T117" s="95" t="s">
        <v>226</v>
      </c>
      <c r="U117" s="95" t="s">
        <v>2274</v>
      </c>
      <c r="V117" s="95" t="s">
        <v>1562</v>
      </c>
    </row>
    <row r="118" spans="1:22">
      <c r="A118" s="95" t="s">
        <v>1562</v>
      </c>
      <c r="B118" s="95" t="s">
        <v>2275</v>
      </c>
      <c r="C118" s="95" t="s">
        <v>2276</v>
      </c>
      <c r="D118" s="95" t="s">
        <v>2277</v>
      </c>
      <c r="E118" s="95" t="s">
        <v>2278</v>
      </c>
      <c r="F118" s="95">
        <v>2013</v>
      </c>
      <c r="G118" s="95" t="s">
        <v>2279</v>
      </c>
      <c r="H118" s="95"/>
      <c r="I118" s="95"/>
      <c r="J118" s="95"/>
      <c r="K118" s="95">
        <v>1554</v>
      </c>
      <c r="L118" s="95">
        <v>1561</v>
      </c>
      <c r="M118" s="95">
        <v>7</v>
      </c>
      <c r="N118" s="95">
        <v>1</v>
      </c>
      <c r="O118" s="95" t="s">
        <v>1562</v>
      </c>
      <c r="P118" s="95" t="s">
        <v>2280</v>
      </c>
      <c r="Q118" s="95" t="s">
        <v>2137</v>
      </c>
      <c r="R118" s="95" t="s">
        <v>2138</v>
      </c>
      <c r="S118" s="95" t="s">
        <v>1562</v>
      </c>
      <c r="T118" s="95" t="s">
        <v>226</v>
      </c>
      <c r="U118" s="95" t="s">
        <v>2281</v>
      </c>
      <c r="V118" s="95" t="s">
        <v>1562</v>
      </c>
    </row>
    <row r="119" spans="1:22">
      <c r="A119" s="95" t="s">
        <v>1562</v>
      </c>
      <c r="B119" s="95" t="s">
        <v>2282</v>
      </c>
      <c r="C119" s="95" t="s">
        <v>2283</v>
      </c>
      <c r="D119" s="95" t="s">
        <v>2284</v>
      </c>
      <c r="E119" s="95" t="s">
        <v>2285</v>
      </c>
      <c r="F119" s="95">
        <v>2025</v>
      </c>
      <c r="G119" s="95" t="s">
        <v>2221</v>
      </c>
      <c r="H119" s="95"/>
      <c r="I119" s="95" t="s">
        <v>1562</v>
      </c>
      <c r="J119" s="95" t="s">
        <v>1562</v>
      </c>
      <c r="K119" s="95">
        <v>53</v>
      </c>
      <c r="L119" s="95">
        <v>66</v>
      </c>
      <c r="M119" s="95">
        <v>13</v>
      </c>
      <c r="N119" s="95">
        <v>0</v>
      </c>
      <c r="O119" s="95" t="s">
        <v>2286</v>
      </c>
      <c r="P119" s="95" t="s">
        <v>2287</v>
      </c>
      <c r="Q119" s="95" t="s">
        <v>2137</v>
      </c>
      <c r="R119" s="95" t="s">
        <v>2138</v>
      </c>
      <c r="S119" s="95" t="s">
        <v>1562</v>
      </c>
      <c r="T119" s="95" t="s">
        <v>226</v>
      </c>
      <c r="U119" s="95" t="s">
        <v>2288</v>
      </c>
      <c r="V119" s="95" t="s">
        <v>1562</v>
      </c>
    </row>
    <row r="120" spans="1:22">
      <c r="A120" s="95" t="s">
        <v>1562</v>
      </c>
      <c r="B120" s="95" t="s">
        <v>2289</v>
      </c>
      <c r="C120" s="95" t="s">
        <v>2290</v>
      </c>
      <c r="D120" s="95" t="s">
        <v>2291</v>
      </c>
      <c r="E120" s="95" t="s">
        <v>2292</v>
      </c>
      <c r="F120" s="95">
        <v>2022</v>
      </c>
      <c r="G120" s="95" t="s">
        <v>2293</v>
      </c>
      <c r="H120" s="95">
        <v>54</v>
      </c>
      <c r="I120" s="95">
        <v>12</v>
      </c>
      <c r="J120" s="95" t="s">
        <v>1562</v>
      </c>
      <c r="K120" s="95">
        <v>117</v>
      </c>
      <c r="L120" s="95">
        <v>126</v>
      </c>
      <c r="M120" s="95">
        <v>9</v>
      </c>
      <c r="N120" s="95">
        <v>0</v>
      </c>
      <c r="O120" s="95" t="s">
        <v>2294</v>
      </c>
      <c r="P120" s="95" t="s">
        <v>2295</v>
      </c>
      <c r="Q120" s="95" t="s">
        <v>2152</v>
      </c>
      <c r="R120" s="95" t="s">
        <v>2138</v>
      </c>
      <c r="S120" s="95" t="s">
        <v>1562</v>
      </c>
      <c r="T120" s="95" t="s">
        <v>226</v>
      </c>
      <c r="U120" s="95" t="s">
        <v>2296</v>
      </c>
      <c r="V120" s="95" t="s">
        <v>1562</v>
      </c>
    </row>
    <row r="121" spans="1:22">
      <c r="A121" s="95" t="s">
        <v>1562</v>
      </c>
      <c r="B121" s="95" t="s">
        <v>2297</v>
      </c>
      <c r="C121" s="95" t="s">
        <v>2298</v>
      </c>
      <c r="D121" s="95" t="s">
        <v>2299</v>
      </c>
      <c r="E121" s="95" t="s">
        <v>2300</v>
      </c>
      <c r="F121" s="95">
        <v>2017</v>
      </c>
      <c r="G121" s="95" t="s">
        <v>2301</v>
      </c>
      <c r="H121" s="95" t="s">
        <v>2302</v>
      </c>
      <c r="I121" s="95" t="s">
        <v>1562</v>
      </c>
      <c r="J121" s="95" t="s">
        <v>1562</v>
      </c>
      <c r="K121" s="95" t="s">
        <v>1562</v>
      </c>
      <c r="L121" s="95" t="s">
        <v>1562</v>
      </c>
      <c r="M121" s="95" t="s">
        <v>1562</v>
      </c>
      <c r="N121" s="95">
        <v>2</v>
      </c>
      <c r="O121" s="95" t="s">
        <v>1562</v>
      </c>
      <c r="P121" s="39" t="s">
        <v>2303</v>
      </c>
      <c r="Q121" s="95" t="s">
        <v>2137</v>
      </c>
      <c r="R121" s="95" t="s">
        <v>2138</v>
      </c>
      <c r="S121" s="95" t="s">
        <v>1562</v>
      </c>
      <c r="T121" s="95" t="s">
        <v>226</v>
      </c>
      <c r="U121" s="95" t="s">
        <v>2304</v>
      </c>
      <c r="V121" s="95" t="s">
        <v>1562</v>
      </c>
    </row>
    <row r="122" spans="1:22">
      <c r="A122" s="95" t="s">
        <v>1562</v>
      </c>
      <c r="B122" s="95" t="s">
        <v>2305</v>
      </c>
      <c r="C122" s="95" t="s">
        <v>2306</v>
      </c>
      <c r="D122" s="95" t="s">
        <v>2307</v>
      </c>
      <c r="E122" s="95" t="s">
        <v>2308</v>
      </c>
      <c r="F122" s="95">
        <v>2024</v>
      </c>
      <c r="G122" s="95" t="s">
        <v>322</v>
      </c>
      <c r="H122" s="95">
        <v>948</v>
      </c>
      <c r="I122" s="95" t="s">
        <v>1562</v>
      </c>
      <c r="J122" s="95">
        <v>174616</v>
      </c>
      <c r="K122" s="95" t="s">
        <v>1562</v>
      </c>
      <c r="L122" s="95" t="s">
        <v>1562</v>
      </c>
      <c r="M122" s="95" t="s">
        <v>1562</v>
      </c>
      <c r="N122" s="95">
        <v>1</v>
      </c>
      <c r="O122" s="95" t="s">
        <v>2309</v>
      </c>
      <c r="P122" s="39" t="s">
        <v>2310</v>
      </c>
      <c r="Q122" s="95" t="s">
        <v>2152</v>
      </c>
      <c r="R122" s="95" t="s">
        <v>2138</v>
      </c>
      <c r="S122" s="95" t="s">
        <v>1562</v>
      </c>
      <c r="T122" s="95" t="s">
        <v>226</v>
      </c>
      <c r="U122" s="95" t="s">
        <v>2311</v>
      </c>
      <c r="V122" s="95" t="s">
        <v>1562</v>
      </c>
    </row>
    <row r="123" spans="1:22">
      <c r="A123" s="95" t="s">
        <v>1562</v>
      </c>
      <c r="B123" s="95" t="s">
        <v>2312</v>
      </c>
      <c r="C123" s="95" t="s">
        <v>2313</v>
      </c>
      <c r="D123" s="95" t="s">
        <v>2314</v>
      </c>
      <c r="E123" s="95" t="s">
        <v>2315</v>
      </c>
      <c r="F123" s="95">
        <v>2012</v>
      </c>
      <c r="G123" s="95" t="s">
        <v>2316</v>
      </c>
      <c r="H123" s="95"/>
      <c r="I123" s="95"/>
      <c r="J123" s="95"/>
      <c r="K123" s="95"/>
      <c r="L123" s="95"/>
      <c r="M123" s="95">
        <v>7</v>
      </c>
      <c r="N123" s="95">
        <v>8</v>
      </c>
      <c r="O123" s="95" t="s">
        <v>1562</v>
      </c>
      <c r="P123" s="95" t="s">
        <v>2317</v>
      </c>
      <c r="Q123" s="95" t="s">
        <v>2137</v>
      </c>
      <c r="R123" s="95" t="s">
        <v>2138</v>
      </c>
      <c r="S123" s="95" t="s">
        <v>1562</v>
      </c>
      <c r="T123" s="95" t="s">
        <v>226</v>
      </c>
      <c r="U123" s="95" t="s">
        <v>2318</v>
      </c>
      <c r="V123" s="95" t="s">
        <v>1562</v>
      </c>
    </row>
    <row r="124" spans="1:22">
      <c r="A124" s="95" t="s">
        <v>1562</v>
      </c>
      <c r="B124" s="95" t="s">
        <v>2319</v>
      </c>
      <c r="C124" s="95" t="s">
        <v>2320</v>
      </c>
      <c r="D124" s="95" t="s">
        <v>2321</v>
      </c>
      <c r="E124" s="95" t="s">
        <v>2322</v>
      </c>
      <c r="F124" s="95">
        <v>2023</v>
      </c>
      <c r="G124" s="95" t="s">
        <v>2323</v>
      </c>
      <c r="H124" s="95">
        <v>116</v>
      </c>
      <c r="I124" s="95" t="s">
        <v>1562</v>
      </c>
      <c r="J124" s="95">
        <v>103639</v>
      </c>
      <c r="K124" s="95" t="s">
        <v>1562</v>
      </c>
      <c r="L124" s="95" t="s">
        <v>1562</v>
      </c>
      <c r="M124" s="95" t="s">
        <v>1562</v>
      </c>
      <c r="N124" s="95">
        <v>2</v>
      </c>
      <c r="O124" s="95" t="s">
        <v>2324</v>
      </c>
      <c r="P124" s="95" t="s">
        <v>2325</v>
      </c>
      <c r="Q124" s="95" t="s">
        <v>2152</v>
      </c>
      <c r="R124" s="95" t="s">
        <v>2138</v>
      </c>
      <c r="S124" s="95" t="s">
        <v>2273</v>
      </c>
      <c r="T124" s="95" t="s">
        <v>226</v>
      </c>
      <c r="U124" s="95" t="s">
        <v>2326</v>
      </c>
      <c r="V124" s="95" t="s">
        <v>1562</v>
      </c>
    </row>
    <row r="125" spans="1:22">
      <c r="A125" s="95" t="s">
        <v>1562</v>
      </c>
      <c r="B125" s="95" t="s">
        <v>2327</v>
      </c>
      <c r="C125" s="95" t="s">
        <v>2328</v>
      </c>
      <c r="D125" s="95" t="s">
        <v>2329</v>
      </c>
      <c r="E125" s="95" t="s">
        <v>2330</v>
      </c>
      <c r="F125" s="95">
        <v>2022</v>
      </c>
      <c r="G125" s="95" t="s">
        <v>2077</v>
      </c>
      <c r="H125" s="95">
        <v>278</v>
      </c>
      <c r="I125" s="95" t="s">
        <v>1562</v>
      </c>
      <c r="J125" s="95">
        <v>107376</v>
      </c>
      <c r="K125" s="95" t="s">
        <v>1562</v>
      </c>
      <c r="L125" s="95" t="s">
        <v>1562</v>
      </c>
      <c r="M125" s="95" t="s">
        <v>1562</v>
      </c>
      <c r="N125" s="95">
        <v>4</v>
      </c>
      <c r="O125" s="95" t="s">
        <v>2331</v>
      </c>
      <c r="P125" s="95" t="s">
        <v>2332</v>
      </c>
      <c r="Q125" s="95" t="s">
        <v>2152</v>
      </c>
      <c r="R125" s="95" t="s">
        <v>2138</v>
      </c>
      <c r="S125" s="95" t="s">
        <v>1562</v>
      </c>
      <c r="T125" s="95" t="s">
        <v>226</v>
      </c>
      <c r="U125" s="95" t="s">
        <v>2333</v>
      </c>
      <c r="V125" s="95" t="s">
        <v>1562</v>
      </c>
    </row>
    <row r="126" spans="1:22">
      <c r="A126" s="95" t="s">
        <v>1562</v>
      </c>
      <c r="B126" s="95" t="s">
        <v>2334</v>
      </c>
      <c r="C126" s="95" t="s">
        <v>2335</v>
      </c>
      <c r="D126" s="95" t="s">
        <v>2336</v>
      </c>
      <c r="E126" s="95" t="s">
        <v>2337</v>
      </c>
      <c r="F126" s="95">
        <v>2017</v>
      </c>
      <c r="G126" s="95" t="s">
        <v>2338</v>
      </c>
      <c r="H126" s="95">
        <v>144</v>
      </c>
      <c r="I126" s="95" t="s">
        <v>1562</v>
      </c>
      <c r="J126" s="95" t="s">
        <v>1562</v>
      </c>
      <c r="K126" s="95">
        <v>295</v>
      </c>
      <c r="L126" s="95">
        <v>302</v>
      </c>
      <c r="M126" s="95">
        <v>7</v>
      </c>
      <c r="N126" s="95">
        <v>25</v>
      </c>
      <c r="O126" s="95" t="s">
        <v>2339</v>
      </c>
      <c r="P126" s="95" t="s">
        <v>2340</v>
      </c>
      <c r="Q126" s="95" t="s">
        <v>2152</v>
      </c>
      <c r="R126" s="95" t="s">
        <v>2138</v>
      </c>
      <c r="S126" s="95" t="s">
        <v>1562</v>
      </c>
      <c r="T126" s="95" t="s">
        <v>226</v>
      </c>
      <c r="U126" s="95" t="s">
        <v>2341</v>
      </c>
      <c r="V126" s="95" t="s">
        <v>1562</v>
      </c>
    </row>
    <row r="127" spans="1:22">
      <c r="A127" s="95" t="s">
        <v>1562</v>
      </c>
      <c r="B127" s="95" t="s">
        <v>2342</v>
      </c>
      <c r="C127" s="95" t="s">
        <v>2343</v>
      </c>
      <c r="D127" s="95" t="s">
        <v>2344</v>
      </c>
      <c r="E127" s="95" t="s">
        <v>2345</v>
      </c>
      <c r="F127" s="95">
        <v>2023</v>
      </c>
      <c r="G127" s="95" t="s">
        <v>2346</v>
      </c>
      <c r="H127" s="95">
        <v>14</v>
      </c>
      <c r="I127" s="95">
        <v>12</v>
      </c>
      <c r="J127" s="95" t="s">
        <v>1562</v>
      </c>
      <c r="K127" s="95">
        <v>4802</v>
      </c>
      <c r="L127" s="95">
        <v>4820</v>
      </c>
      <c r="M127" s="95">
        <v>18</v>
      </c>
      <c r="N127" s="95">
        <v>7</v>
      </c>
      <c r="O127" s="95" t="s">
        <v>2347</v>
      </c>
      <c r="P127" s="95" t="s">
        <v>2348</v>
      </c>
      <c r="Q127" s="95" t="s">
        <v>2152</v>
      </c>
      <c r="R127" s="95" t="s">
        <v>2138</v>
      </c>
      <c r="S127" s="95" t="s">
        <v>2240</v>
      </c>
      <c r="T127" s="95" t="s">
        <v>226</v>
      </c>
      <c r="U127" s="95" t="s">
        <v>2349</v>
      </c>
      <c r="V127" s="95" t="s">
        <v>1562</v>
      </c>
    </row>
    <row r="128" spans="1:22">
      <c r="A128" s="95" t="s">
        <v>1562</v>
      </c>
      <c r="B128" s="95" t="s">
        <v>2350</v>
      </c>
      <c r="C128" s="95" t="s">
        <v>2351</v>
      </c>
      <c r="D128" s="100">
        <v>57200000000</v>
      </c>
      <c r="E128" s="95" t="s">
        <v>2352</v>
      </c>
      <c r="F128" s="95">
        <v>2016</v>
      </c>
      <c r="G128" s="95" t="s">
        <v>2353</v>
      </c>
      <c r="H128" s="95"/>
      <c r="I128" s="95"/>
      <c r="J128" s="95" t="s">
        <v>1562</v>
      </c>
      <c r="K128" s="95">
        <v>160</v>
      </c>
      <c r="L128" s="95">
        <v>167</v>
      </c>
      <c r="M128" s="95">
        <v>7</v>
      </c>
      <c r="N128" s="95">
        <v>0</v>
      </c>
      <c r="O128" s="95" t="s">
        <v>1562</v>
      </c>
      <c r="P128" s="95" t="s">
        <v>2354</v>
      </c>
      <c r="Q128" s="95" t="s">
        <v>2137</v>
      </c>
      <c r="R128" s="95" t="s">
        <v>2138</v>
      </c>
      <c r="S128" s="95" t="s">
        <v>1562</v>
      </c>
      <c r="T128" s="95" t="s">
        <v>226</v>
      </c>
      <c r="U128" s="95" t="s">
        <v>2355</v>
      </c>
      <c r="V128" s="95" t="s">
        <v>1562</v>
      </c>
    </row>
    <row r="129" spans="1:22">
      <c r="A129" s="95" t="s">
        <v>1562</v>
      </c>
      <c r="B129" s="95" t="s">
        <v>2144</v>
      </c>
      <c r="C129" s="95" t="s">
        <v>2145</v>
      </c>
      <c r="D129" s="95" t="s">
        <v>2146</v>
      </c>
      <c r="E129" s="95" t="s">
        <v>2147</v>
      </c>
      <c r="F129" s="95">
        <v>2025</v>
      </c>
      <c r="G129" s="95" t="s">
        <v>2148</v>
      </c>
      <c r="H129" s="95">
        <v>18</v>
      </c>
      <c r="I129" s="95">
        <v>1</v>
      </c>
      <c r="J129" s="95" t="s">
        <v>2149</v>
      </c>
      <c r="K129" s="95" t="s">
        <v>1562</v>
      </c>
      <c r="L129" s="95" t="s">
        <v>1562</v>
      </c>
      <c r="M129" s="95" t="s">
        <v>1562</v>
      </c>
      <c r="N129" s="95">
        <v>0</v>
      </c>
      <c r="O129" s="95" t="s">
        <v>2150</v>
      </c>
      <c r="P129" s="95" t="s">
        <v>2151</v>
      </c>
      <c r="Q129" s="95" t="s">
        <v>2152</v>
      </c>
      <c r="R129" s="95" t="s">
        <v>2138</v>
      </c>
      <c r="S129" s="95" t="s">
        <v>1562</v>
      </c>
      <c r="T129" s="95" t="s">
        <v>226</v>
      </c>
      <c r="U129" s="95" t="s">
        <v>2153</v>
      </c>
      <c r="V129" s="95" t="s">
        <v>1562</v>
      </c>
    </row>
    <row r="130" spans="1:22">
      <c r="A130" s="95" t="s">
        <v>1562</v>
      </c>
      <c r="B130" s="95" t="s">
        <v>2356</v>
      </c>
      <c r="C130" s="95" t="s">
        <v>2357</v>
      </c>
      <c r="D130" s="95" t="s">
        <v>2358</v>
      </c>
      <c r="E130" s="95" t="s">
        <v>2359</v>
      </c>
      <c r="F130" s="95">
        <v>2023</v>
      </c>
      <c r="G130" s="95" t="s">
        <v>322</v>
      </c>
      <c r="H130" s="95">
        <v>884</v>
      </c>
      <c r="I130" s="95" t="s">
        <v>1562</v>
      </c>
      <c r="J130" s="95">
        <v>163685</v>
      </c>
      <c r="K130" s="95" t="s">
        <v>1562</v>
      </c>
      <c r="L130" s="95" t="s">
        <v>1562</v>
      </c>
      <c r="M130" s="95" t="s">
        <v>1562</v>
      </c>
      <c r="N130" s="95">
        <v>3</v>
      </c>
      <c r="O130" s="95" t="s">
        <v>2360</v>
      </c>
      <c r="P130" s="95" t="s">
        <v>2361</v>
      </c>
      <c r="Q130" s="95" t="s">
        <v>2152</v>
      </c>
      <c r="R130" s="95" t="s">
        <v>2138</v>
      </c>
      <c r="S130" s="95" t="s">
        <v>2273</v>
      </c>
      <c r="T130" s="95" t="s">
        <v>226</v>
      </c>
      <c r="U130" s="95" t="s">
        <v>2362</v>
      </c>
      <c r="V130" s="95" t="s">
        <v>1562</v>
      </c>
    </row>
    <row r="131" spans="1:22">
      <c r="A131" s="95" t="s">
        <v>1562</v>
      </c>
      <c r="B131" s="95" t="s">
        <v>2363</v>
      </c>
      <c r="C131" s="95" t="s">
        <v>2364</v>
      </c>
      <c r="D131" s="95" t="s">
        <v>2365</v>
      </c>
      <c r="E131" s="95" t="s">
        <v>2366</v>
      </c>
      <c r="F131" s="95">
        <v>2025</v>
      </c>
      <c r="G131" s="95" t="s">
        <v>2367</v>
      </c>
      <c r="H131" s="95">
        <v>267</v>
      </c>
      <c r="I131" s="95" t="s">
        <v>1562</v>
      </c>
      <c r="J131" s="95">
        <v>112184</v>
      </c>
      <c r="K131" s="95" t="s">
        <v>1562</v>
      </c>
      <c r="L131" s="95" t="s">
        <v>1562</v>
      </c>
      <c r="M131" s="95" t="s">
        <v>1562</v>
      </c>
      <c r="N131" s="95">
        <v>0</v>
      </c>
      <c r="O131" s="95" t="s">
        <v>2368</v>
      </c>
      <c r="P131" s="95" t="s">
        <v>2369</v>
      </c>
      <c r="Q131" s="95" t="s">
        <v>2152</v>
      </c>
      <c r="R131" s="95" t="s">
        <v>2138</v>
      </c>
      <c r="S131" s="95" t="s">
        <v>1562</v>
      </c>
      <c r="T131" s="95" t="s">
        <v>226</v>
      </c>
      <c r="U131" s="95" t="s">
        <v>2370</v>
      </c>
      <c r="V131" s="95" t="s">
        <v>1562</v>
      </c>
    </row>
    <row r="132" spans="1:22">
      <c r="A132" s="95" t="s">
        <v>1562</v>
      </c>
      <c r="B132" s="95" t="s">
        <v>2371</v>
      </c>
      <c r="C132" s="95" t="s">
        <v>2372</v>
      </c>
      <c r="D132" s="95" t="s">
        <v>2373</v>
      </c>
      <c r="E132" s="95" t="s">
        <v>2374</v>
      </c>
      <c r="F132" s="95">
        <v>2017</v>
      </c>
      <c r="G132" s="95" t="s">
        <v>2375</v>
      </c>
      <c r="H132" s="95">
        <v>14</v>
      </c>
      <c r="I132" s="95">
        <v>7</v>
      </c>
      <c r="J132" s="95" t="s">
        <v>1562</v>
      </c>
      <c r="K132" s="95">
        <v>177</v>
      </c>
      <c r="L132" s="95">
        <v>189</v>
      </c>
      <c r="M132" s="95">
        <v>12</v>
      </c>
      <c r="N132" s="95">
        <v>2</v>
      </c>
      <c r="O132" s="95" t="s">
        <v>2376</v>
      </c>
      <c r="P132" s="95" t="s">
        <v>2377</v>
      </c>
      <c r="Q132" s="95" t="s">
        <v>2152</v>
      </c>
      <c r="R132" s="95" t="s">
        <v>2138</v>
      </c>
      <c r="S132" s="95" t="s">
        <v>2161</v>
      </c>
      <c r="T132" s="95" t="s">
        <v>226</v>
      </c>
      <c r="U132" s="95" t="s">
        <v>2378</v>
      </c>
      <c r="V132" s="95" t="s">
        <v>1562</v>
      </c>
    </row>
  </sheetData>
  <hyperlinks>
    <hyperlink ref="F3" r:id="rId1" xr:uid="{E52160E5-3847-44B6-98B3-6D28B74E669A}"/>
    <hyperlink ref="F4" r:id="rId2" xr:uid="{E4D19334-875D-4146-937D-219881BEA331}"/>
    <hyperlink ref="F5" r:id="rId3" xr:uid="{D7D1599F-F2C6-425A-9FF0-B27A0D91DDAB}"/>
    <hyperlink ref="F6" r:id="rId4" xr:uid="{67AC98AF-B689-42BA-A214-05080CB3E737}"/>
    <hyperlink ref="F7" r:id="rId5" xr:uid="{AF92AE0C-0211-4B98-BEF8-34AD373BF704}"/>
    <hyperlink ref="F8" r:id="rId6" xr:uid="{A95C4941-B205-4EFA-9CF7-96992CCA0DEB}"/>
    <hyperlink ref="F9" r:id="rId7" xr:uid="{F6B3A18B-4614-425A-AE65-828F0800893D}"/>
    <hyperlink ref="F10" r:id="rId8" xr:uid="{0436141A-798D-4E50-BEAF-719AED0DB3C6}"/>
    <hyperlink ref="F11" r:id="rId9" xr:uid="{CB6AA713-A058-4183-BA21-0F4E933FAADD}"/>
    <hyperlink ref="F12" r:id="rId10" xr:uid="{D89448FF-7539-40CA-B89D-D3D83EACFF80}"/>
    <hyperlink ref="F14" r:id="rId11" xr:uid="{E6414D5D-0D05-4C67-98C6-C5F3A106D9BF}"/>
    <hyperlink ref="F15" r:id="rId12" xr:uid="{45F39389-2D56-426D-9A42-0512B57804D4}"/>
    <hyperlink ref="F16" r:id="rId13" xr:uid="{18CCF332-1788-4B60-B41A-1CE45B23F857}"/>
    <hyperlink ref="F17" r:id="rId14" xr:uid="{4E12C994-7FBB-41DE-96EB-0042979A842C}"/>
    <hyperlink ref="F19" r:id="rId15" xr:uid="{D83948DD-1245-4012-90B1-4291C73D3C4D}"/>
    <hyperlink ref="F20" r:id="rId16" xr:uid="{80426B1D-F1C4-44CD-96CB-259404A21F02}"/>
    <hyperlink ref="F22" r:id="rId17" xr:uid="{ED62DCCD-E166-473D-A8D4-3214BF000D37}"/>
    <hyperlink ref="F23" r:id="rId18" xr:uid="{AF90656A-BC7F-47AC-B422-EA097DA82444}"/>
    <hyperlink ref="F24" r:id="rId19" xr:uid="{5615A2BC-57E9-4F0B-BBED-59DC46C665AF}"/>
    <hyperlink ref="F25" r:id="rId20" xr:uid="{22C3EC7D-F7DE-4BF1-AD49-48C3A4C80EEE}"/>
    <hyperlink ref="F26" r:id="rId21" xr:uid="{F59B7562-A323-401F-A13D-CFB5E14BC01A}"/>
    <hyperlink ref="F27" r:id="rId22" xr:uid="{DEC801BA-2B53-4243-9A7C-E1DCF85660B2}"/>
    <hyperlink ref="F28" r:id="rId23" xr:uid="{B48C9AF3-088E-4500-BA49-9F949C675063}"/>
    <hyperlink ref="F29" r:id="rId24" xr:uid="{4BCE8469-00F5-458F-BF2C-885AFD45EDBE}"/>
    <hyperlink ref="F30" r:id="rId25" xr:uid="{984CF2F8-6AD6-4B74-8FF8-512F676A8999}"/>
    <hyperlink ref="F31" r:id="rId26" xr:uid="{35F1871D-1086-4F80-8809-ED85541175F2}"/>
    <hyperlink ref="F32" r:id="rId27" xr:uid="{2AF8C813-0505-43B4-8E85-578199EE80A7}"/>
    <hyperlink ref="F33" r:id="rId28" xr:uid="{A3F1B9E9-8734-4A2D-83A0-3DD85DE79926}"/>
    <hyperlink ref="F34" r:id="rId29" xr:uid="{57601609-E310-4003-BB5E-2B56E210BC84}"/>
    <hyperlink ref="F35" r:id="rId30" xr:uid="{FFD17FCC-D9CC-4237-BEF9-268A6F2DEAFD}"/>
    <hyperlink ref="F36" r:id="rId31" xr:uid="{C87A3483-7D0D-441A-8FF1-7AA2F71CC5B0}"/>
    <hyperlink ref="F37" r:id="rId32" xr:uid="{63FFB1BE-EDDD-4DD4-8FB0-30C4DFDFED30}"/>
    <hyperlink ref="F38" r:id="rId33" xr:uid="{82025E4E-A538-4E00-83B4-19D6AC2C46FD}"/>
    <hyperlink ref="F39" r:id="rId34" xr:uid="{B929740E-1220-4744-A70F-3C97838D4C81}"/>
    <hyperlink ref="F40" r:id="rId35" xr:uid="{6574054A-C3F3-49D6-88C9-DF566A57513E}"/>
    <hyperlink ref="F41" r:id="rId36" xr:uid="{33F7ADBC-60A8-47B4-B969-F1FC1E964845}"/>
    <hyperlink ref="F42" r:id="rId37" xr:uid="{C473C158-E363-4EB8-A661-A75FBE5514E3}"/>
    <hyperlink ref="P114" r:id="rId38" xr:uid="{EAF4FEFB-8F54-4892-9014-4E01ABC407B1}"/>
    <hyperlink ref="P116" r:id="rId39" xr:uid="{9C6BA719-9C07-4C3A-9824-53004ED46E8C}"/>
    <hyperlink ref="P117" r:id="rId40" xr:uid="{096D9EAF-CA94-4FC7-A1DB-7D415B3364C9}"/>
    <hyperlink ref="P121" r:id="rId41" xr:uid="{F425D563-FF9F-4ACB-BDC0-C076E90337E3}"/>
    <hyperlink ref="P122" r:id="rId42" xr:uid="{3AEACA30-E7C6-4531-AAD0-ED04F20A4BF9}"/>
  </hyperlinks>
  <pageMargins left="0.7" right="0.7" top="0.75" bottom="0.75" header="0.3" footer="0.3"/>
</worksheet>
</file>

<file path=docMetadata/LabelInfo.xml><?xml version="1.0" encoding="utf-8"?>
<clbl:labelList xmlns:clbl="http://schemas.microsoft.com/office/2020/mipLabelMetadata">
  <clbl:label id="{220f5dc3-9452-48e5-9b4f-888df42f7a2d}" enabled="0" method="" siteId="{220f5dc3-9452-48e5-9b4f-888df42f7a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lit_results</vt:lpstr>
      <vt:lpstr>search_terms</vt:lpstr>
      <vt:lpstr>archive</vt:lpstr>
      <vt:lpstr>archive_11Sep25</vt:lpstr>
      <vt:lpstr>Lit_CB</vt:lpstr>
      <vt:lpstr>Lit_OR</vt:lpstr>
      <vt:lpstr>Lit_WW</vt:lpstr>
      <vt:lpstr>Lit_MP</vt:lpstr>
      <vt:lpstr>Lit_MA</vt:lpstr>
      <vt:lpstr>Updated pond search</vt:lpstr>
      <vt:lpstr>Lit_BM</vt:lpstr>
      <vt:lpstr>LIT_MS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Whitney Woelmer</dc:creator>
  <cp:keywords/>
  <dc:description/>
  <cp:lastModifiedBy>Whitney Woelmer</cp:lastModifiedBy>
  <cp:revision/>
  <dcterms:created xsi:type="dcterms:W3CDTF">2024-11-13T00:46:44Z</dcterms:created>
  <dcterms:modified xsi:type="dcterms:W3CDTF">2025-11-09T20:00:35Z</dcterms:modified>
  <cp:category/>
  <cp:contentStatus/>
</cp:coreProperties>
</file>